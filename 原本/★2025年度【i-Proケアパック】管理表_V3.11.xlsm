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7075685\Documents\#PRJ\2025017_iproケアパックツール修正\002_ケアパック集計\原本\"/>
    </mc:Choice>
  </mc:AlternateContent>
  <xr:revisionPtr revIDLastSave="0" documentId="13_ncr:1_{8EDA69C2-D660-4282-811F-53A7A797D081}" xr6:coauthVersionLast="47" xr6:coauthVersionMax="47" xr10:uidLastSave="{00000000-0000-0000-0000-000000000000}"/>
  <bookViews>
    <workbookView xWindow="-120" yWindow="-120" windowWidth="29040" windowHeight="15720" firstSheet="2" activeTab="6" xr2:uid="{5135073B-F87A-4DBF-9E35-E66D78488CF2}"/>
  </bookViews>
  <sheets>
    <sheet name="ログ" sheetId="1" r:id="rId1"/>
    <sheet name="変更履歴" sheetId="2" r:id="rId2"/>
    <sheet name="設定" sheetId="20" r:id="rId3"/>
    <sheet name="メニュー" sheetId="10" r:id="rId4"/>
    <sheet name="オンサイト" sheetId="15" r:id="rId5"/>
    <sheet name="センドバック" sheetId="16" r:id="rId6"/>
    <sheet name="Nパッケージ" sheetId="17" r:id="rId7"/>
    <sheet name="記入事項" sheetId="18" r:id="rId8"/>
    <sheet name="Sheet1" sheetId="19" r:id="rId9"/>
    <sheet name="メール（月報）" sheetId="14" r:id="rId10"/>
    <sheet name="価格表 (卸価格）" sheetId="23" r:id="rId11"/>
    <sheet name="価格表（セ価格）" sheetId="22" r:id="rId12"/>
    <sheet name="メール（点検連絡票）" sheetId="24" r:id="rId13"/>
    <sheet name="連絡先" sheetId="25" r:id="rId14"/>
    <sheet name="部署" sheetId="26" r:id="rId15"/>
  </sheets>
  <functionGroups builtInGroupCount="19"/>
  <definedNames>
    <definedName name="_xlnm._FilterDatabase" localSheetId="6" hidden="1">Nパッケージ!$A$3:$AX$2251</definedName>
    <definedName name="_xlnm._FilterDatabase" localSheetId="4" hidden="1">オンサイト!$A$4:$CY$4</definedName>
    <definedName name="_xlnm._FilterDatabase" localSheetId="5" hidden="1">センドバック!$A$4:$AX$4</definedName>
    <definedName name="_xleta.UNICHAR" hidden="1" xlm="1">#NAME?</definedName>
    <definedName name="_xleta.VALUE" hidden="1" xlm="1">#NAME?</definedName>
    <definedName name="ExternalData_1" localSheetId="10" hidden="1">'価格表 (卸価格）'!$A$2:$J$292</definedName>
    <definedName name="ExternalData_1" localSheetId="11" hidden="1">'価格表（セ価格）'!$A$2:$J$292</definedName>
    <definedName name="_xlnm.Print_Area" localSheetId="6">Nパッケージ!$B$1:$AP$3</definedName>
    <definedName name="_xlnm.Print_Area" localSheetId="5">センドバック!$B$1:$AP$4</definedName>
    <definedName name="_xlnm.Print_Area" localSheetId="9">'メール（月報）'!$A$1:$C$16</definedName>
    <definedName name="_xlnm.Print_Area" localSheetId="12">'メール（点検連絡票）'!$A$1:$C$16</definedName>
    <definedName name="_xlnm.Print_Area" localSheetId="3">メニュー!$B$1:$I$24</definedName>
    <definedName name="_xlnm.Print_Area" localSheetId="0">ログ!$A$1:$E$90</definedName>
    <definedName name="_xlnm.Print_Area" localSheetId="14">部署!$A$1:$E$48</definedName>
    <definedName name="_xlnm.Print_Area" localSheetId="1">変更履歴!$A$1:$E$61</definedName>
    <definedName name="_xlnm.Print_Titles" localSheetId="6">Nパッケージ!$2:$3</definedName>
    <definedName name="_xlnm.Print_Titles" localSheetId="5">センドバック!$3:$4</definedName>
    <definedName name="Z_0961CF49_1756_4F7D_850B_0213D44DCEA1_.wvu.FilterData" localSheetId="4" hidden="1">オンサイト!$A$4:$CY$2219</definedName>
    <definedName name="Z_24ACC04C_2327_462A_AFF2_B36BFFECED7D_.wvu.Cols" localSheetId="6" hidden="1">Nパッケージ!$E:$F</definedName>
    <definedName name="Z_24ACC04C_2327_462A_AFF2_B36BFFECED7D_.wvu.Cols" localSheetId="5" hidden="1">センドバック!$E:$F</definedName>
    <definedName name="Z_24ACC04C_2327_462A_AFF2_B36BFFECED7D_.wvu.FilterData" localSheetId="6" hidden="1">Nパッケージ!$A$3:$AX$2251</definedName>
    <definedName name="Z_24ACC04C_2327_462A_AFF2_B36BFFECED7D_.wvu.FilterData" localSheetId="4" hidden="1">オンサイト!$A$4:$CY$809</definedName>
    <definedName name="Z_24ACC04C_2327_462A_AFF2_B36BFFECED7D_.wvu.FilterData" localSheetId="5" hidden="1">センドバック!$A$4:$AX$4</definedName>
    <definedName name="Z_24ACC04C_2327_462A_AFF2_B36BFFECED7D_.wvu.PrintArea" localSheetId="6" hidden="1">Nパッケージ!$B$1:$AP$3</definedName>
    <definedName name="Z_24ACC04C_2327_462A_AFF2_B36BFFECED7D_.wvu.PrintArea" localSheetId="5" hidden="1">センドバック!$B$1:$AP$4</definedName>
    <definedName name="Z_24ACC04C_2327_462A_AFF2_B36BFFECED7D_.wvu.PrintTitles" localSheetId="6" hidden="1">Nパッケージ!$2:$3</definedName>
    <definedName name="Z_24ACC04C_2327_462A_AFF2_B36BFFECED7D_.wvu.PrintTitles" localSheetId="5" hidden="1">センドバック!$3:$4</definedName>
    <definedName name="Z_927C2F0B_A57E_43CD_B245_A6A7C0319C7A_.wvu.Cols" localSheetId="6" hidden="1">Nパッケージ!$E:$F</definedName>
    <definedName name="Z_927C2F0B_A57E_43CD_B245_A6A7C0319C7A_.wvu.Cols" localSheetId="5" hidden="1">センドバック!$E:$F</definedName>
    <definedName name="Z_927C2F0B_A57E_43CD_B245_A6A7C0319C7A_.wvu.FilterData" localSheetId="6" hidden="1">Nパッケージ!$A$3:$AX$2251</definedName>
    <definedName name="Z_927C2F0B_A57E_43CD_B245_A6A7C0319C7A_.wvu.FilterData" localSheetId="4" hidden="1">オンサイト!$A$4:$CY$2219</definedName>
    <definedName name="Z_927C2F0B_A57E_43CD_B245_A6A7C0319C7A_.wvu.FilterData" localSheetId="5" hidden="1">センドバック!$A$4:$AX$4</definedName>
    <definedName name="Z_927C2F0B_A57E_43CD_B245_A6A7C0319C7A_.wvu.PrintArea" localSheetId="6" hidden="1">Nパッケージ!$B$1:$AP$3</definedName>
    <definedName name="Z_927C2F0B_A57E_43CD_B245_A6A7C0319C7A_.wvu.PrintArea" localSheetId="5" hidden="1">センドバック!$B$1:$AP$4</definedName>
    <definedName name="Z_927C2F0B_A57E_43CD_B245_A6A7C0319C7A_.wvu.PrintTitles" localSheetId="6" hidden="1">Nパッケージ!$2:$3</definedName>
    <definedName name="Z_927C2F0B_A57E_43CD_B245_A6A7C0319C7A_.wvu.PrintTitles" localSheetId="5" hidden="1">センドバック!$3:$4</definedName>
    <definedName name="オンサイト">オンサイト!$A:$AQ</definedName>
    <definedName name="センドバック" localSheetId="6">Nパッケージ!$A:$AP</definedName>
    <definedName name="センドバック">センドバック!$A:$AP</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6" i="15" l="1"/>
  <c r="AX45" i="15"/>
  <c r="AX48" i="15"/>
  <c r="A72" i="15"/>
  <c r="A73" i="15"/>
  <c r="A74" i="15"/>
  <c r="A75" i="15"/>
  <c r="AV31" i="16"/>
  <c r="AU31" i="16"/>
  <c r="AX31" i="16"/>
  <c r="AV30" i="16"/>
  <c r="AU30" i="16"/>
  <c r="AX30" i="16"/>
  <c r="AV29" i="16"/>
  <c r="AU29" i="16"/>
  <c r="AX29" i="16"/>
  <c r="AV28" i="16"/>
  <c r="AU28" i="16"/>
  <c r="AX28" i="16"/>
  <c r="AV27" i="16"/>
  <c r="AU27" i="16"/>
  <c r="AX27" i="16"/>
  <c r="AV26" i="16"/>
  <c r="AU26" i="16"/>
  <c r="AX26" i="16"/>
  <c r="AV25" i="16"/>
  <c r="AU25" i="16"/>
  <c r="AX25" i="16"/>
  <c r="AV24" i="16"/>
  <c r="AU24" i="16"/>
  <c r="AX24" i="16"/>
  <c r="AV23" i="16"/>
  <c r="AU23" i="16"/>
  <c r="AX23" i="16"/>
  <c r="AV22" i="16"/>
  <c r="AU22" i="16"/>
  <c r="AX22" i="16"/>
  <c r="AV21" i="16"/>
  <c r="AU21" i="16"/>
  <c r="AX21" i="16"/>
  <c r="AV20" i="16"/>
  <c r="AU20" i="16"/>
  <c r="AX20" i="16"/>
  <c r="AV19" i="16"/>
  <c r="AU19" i="16"/>
  <c r="AX19" i="16"/>
  <c r="AV18" i="16"/>
  <c r="AU18" i="16"/>
  <c r="AX18" i="16"/>
  <c r="AV17" i="16"/>
  <c r="AU17" i="16"/>
  <c r="AX17" i="16"/>
  <c r="AV16" i="16"/>
  <c r="AU16" i="16"/>
  <c r="AX16" i="16"/>
  <c r="AV15" i="16"/>
  <c r="AU15" i="16"/>
  <c r="AX15" i="16"/>
  <c r="AV14" i="16"/>
  <c r="AU14" i="16"/>
  <c r="AX14" i="16"/>
  <c r="AV13" i="16"/>
  <c r="AU13" i="16"/>
  <c r="AX13" i="16"/>
  <c r="AV12" i="16"/>
  <c r="AU12" i="16"/>
  <c r="AX12" i="16"/>
  <c r="AV11" i="16"/>
  <c r="AU11" i="16"/>
  <c r="AX11" i="16"/>
  <c r="AV10" i="16"/>
  <c r="AU10" i="16"/>
  <c r="AX10" i="16"/>
  <c r="AV9" i="16"/>
  <c r="AU9" i="16"/>
  <c r="AX9" i="16"/>
  <c r="AV8" i="16"/>
  <c r="AU8" i="16"/>
  <c r="AX8" i="16"/>
  <c r="AV7" i="16"/>
  <c r="AU7" i="16"/>
  <c r="AX7" i="16"/>
  <c r="AV6" i="16"/>
  <c r="AU6" i="16"/>
  <c r="AX6" i="16"/>
  <c r="AV5" i="16"/>
  <c r="AU5" i="16"/>
  <c r="AX5" i="16"/>
  <c r="AZ48" i="15"/>
  <c r="AX47" i="15"/>
  <c r="AZ47" i="15"/>
  <c r="AW46" i="15"/>
  <c r="AZ46" i="15"/>
  <c r="AZ45" i="15"/>
  <c r="AZ44" i="15"/>
  <c r="AX43" i="15"/>
  <c r="AZ43" i="15"/>
  <c r="AW42" i="15"/>
  <c r="AZ42" i="15"/>
  <c r="AZ41" i="15"/>
  <c r="AZ40" i="15"/>
  <c r="AX39" i="15"/>
  <c r="AZ39" i="15"/>
  <c r="AW38" i="15"/>
  <c r="AZ38" i="15"/>
  <c r="AZ37" i="15"/>
  <c r="AZ36" i="15"/>
  <c r="AX35" i="15"/>
  <c r="AZ35" i="15"/>
  <c r="AW34" i="15"/>
  <c r="AZ34" i="15"/>
  <c r="AZ33" i="15"/>
  <c r="AZ32" i="15"/>
  <c r="AX31" i="15"/>
  <c r="AZ31" i="15"/>
  <c r="AW30" i="15"/>
  <c r="AZ30" i="15"/>
  <c r="AZ29" i="15"/>
  <c r="AZ28" i="15"/>
  <c r="AX27" i="15"/>
  <c r="AZ27" i="15"/>
  <c r="AW26" i="15"/>
  <c r="AZ26" i="15"/>
  <c r="AZ25" i="15"/>
  <c r="AZ24" i="15"/>
  <c r="AX23" i="15"/>
  <c r="AZ23" i="15"/>
  <c r="AW22" i="15"/>
  <c r="AZ22" i="15"/>
  <c r="AZ21" i="15"/>
  <c r="AZ20" i="15"/>
  <c r="AX19" i="15"/>
  <c r="AZ19" i="15"/>
  <c r="AW18" i="15"/>
  <c r="AZ18" i="15"/>
  <c r="AZ17" i="15"/>
  <c r="AZ16" i="15"/>
  <c r="AX15" i="15"/>
  <c r="AZ15" i="15"/>
  <c r="AX14" i="15"/>
  <c r="AW14" i="15"/>
  <c r="AZ14" i="15"/>
  <c r="AZ13" i="15"/>
  <c r="AZ12" i="15"/>
  <c r="AX11" i="15"/>
  <c r="AZ11" i="15"/>
  <c r="AX10" i="15"/>
  <c r="AW10" i="15"/>
  <c r="AZ10" i="15"/>
  <c r="AZ9" i="15"/>
  <c r="AW8" i="15"/>
  <c r="AZ8" i="15"/>
  <c r="AX7" i="15"/>
  <c r="AZ7" i="15"/>
  <c r="AX6" i="15"/>
  <c r="AW6" i="15"/>
  <c r="AZ6" i="15"/>
  <c r="AZ5" i="15"/>
  <c r="A50" i="15"/>
  <c r="A51" i="15"/>
  <c r="A52" i="15"/>
  <c r="A53" i="15"/>
  <c r="A54" i="15"/>
  <c r="A55" i="15"/>
  <c r="A56" i="15"/>
  <c r="A57" i="15"/>
  <c r="A58" i="15"/>
  <c r="A59" i="15"/>
  <c r="A60" i="15"/>
  <c r="A61" i="15"/>
  <c r="A62" i="15"/>
  <c r="A63" i="15"/>
  <c r="A64" i="15"/>
  <c r="A65" i="15"/>
  <c r="A66" i="15"/>
  <c r="A67" i="15"/>
  <c r="A68" i="15"/>
  <c r="A69" i="15"/>
  <c r="A70" i="15"/>
  <c r="A71" i="15"/>
  <c r="A49" i="15"/>
  <c r="AF6" i="16"/>
  <c r="AF7" i="16"/>
  <c r="AF8" i="16"/>
  <c r="AF9" i="16"/>
  <c r="AF10" i="16"/>
  <c r="AF11" i="16"/>
  <c r="AF12" i="16"/>
  <c r="AF13" i="16"/>
  <c r="AF14" i="16"/>
  <c r="AF15" i="16"/>
  <c r="AF16" i="16"/>
  <c r="AF17" i="16"/>
  <c r="AF18" i="16"/>
  <c r="AF19" i="16"/>
  <c r="AF20" i="16"/>
  <c r="AF21" i="16"/>
  <c r="AF22" i="16"/>
  <c r="AF23" i="16"/>
  <c r="AF24" i="16"/>
  <c r="AF25" i="16"/>
  <c r="AF26" i="16"/>
  <c r="AF27" i="16"/>
  <c r="AF28" i="16"/>
  <c r="AF29" i="16"/>
  <c r="AF30" i="16"/>
  <c r="AF31"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F5" i="16"/>
  <c r="A5" i="16"/>
  <c r="AQ41" i="15"/>
  <c r="AQ42" i="15"/>
  <c r="AQ43" i="15"/>
  <c r="AQ44" i="15"/>
  <c r="AQ45" i="15"/>
  <c r="AQ46" i="15"/>
  <c r="AQ47" i="15"/>
  <c r="AQ48" i="15"/>
  <c r="AF41" i="15"/>
  <c r="AF42" i="15"/>
  <c r="AF43" i="15"/>
  <c r="AF44" i="15"/>
  <c r="AF45" i="15"/>
  <c r="AF46" i="15"/>
  <c r="AF47" i="15"/>
  <c r="AF48" i="15"/>
  <c r="A41" i="15"/>
  <c r="A42" i="15"/>
  <c r="A43" i="15"/>
  <c r="A44" i="15"/>
  <c r="A45" i="15"/>
  <c r="A46" i="15"/>
  <c r="A47" i="15"/>
  <c r="A48" i="15"/>
  <c r="AQ40" i="15"/>
  <c r="AF40" i="15"/>
  <c r="A40"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F10" i="15"/>
  <c r="AF11" i="15"/>
  <c r="AF12" i="15"/>
  <c r="AF13" i="15"/>
  <c r="AF14" i="15"/>
  <c r="AF15" i="15"/>
  <c r="AF16" i="15"/>
  <c r="AF17" i="15"/>
  <c r="AF18" i="15"/>
  <c r="AF19" i="15"/>
  <c r="AF20" i="15"/>
  <c r="AF21" i="15"/>
  <c r="AF22" i="15"/>
  <c r="AF23" i="15"/>
  <c r="AF24" i="15"/>
  <c r="AF25" i="15"/>
  <c r="AF26" i="15"/>
  <c r="AF27" i="15"/>
  <c r="AF28" i="15"/>
  <c r="AF29" i="15"/>
  <c r="AF30" i="15"/>
  <c r="AF31" i="15"/>
  <c r="AF32" i="15"/>
  <c r="AF33" i="15"/>
  <c r="AF34" i="15"/>
  <c r="AF35" i="15"/>
  <c r="AF36" i="15"/>
  <c r="AF37" i="15"/>
  <c r="AF38" i="15"/>
  <c r="AF3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Q9" i="15"/>
  <c r="AF9" i="15"/>
  <c r="A9" i="15"/>
  <c r="AX22" i="15" l="1"/>
  <c r="AX26" i="15"/>
  <c r="AX30" i="15"/>
  <c r="AX34" i="15"/>
  <c r="AX38" i="15"/>
  <c r="AX42" i="15"/>
  <c r="AX46" i="15"/>
  <c r="AX18" i="15"/>
  <c r="AW7" i="15"/>
  <c r="AW11" i="15"/>
  <c r="AW15" i="15"/>
  <c r="AW19" i="15"/>
  <c r="AW23" i="15"/>
  <c r="AW27" i="15"/>
  <c r="AW31" i="15"/>
  <c r="AW35" i="15"/>
  <c r="AW39" i="15"/>
  <c r="AW43" i="15"/>
  <c r="AW47" i="15"/>
  <c r="AW16" i="15"/>
  <c r="AW24" i="15"/>
  <c r="AW36" i="15"/>
  <c r="AW44" i="15"/>
  <c r="AX8" i="15"/>
  <c r="AX16" i="15"/>
  <c r="AX28" i="15"/>
  <c r="AX36" i="15"/>
  <c r="AX44" i="15"/>
  <c r="AW9" i="15"/>
  <c r="AW17" i="15"/>
  <c r="AW29" i="15"/>
  <c r="AW45" i="15"/>
  <c r="AW28" i="15"/>
  <c r="AW48" i="15"/>
  <c r="AX20" i="15"/>
  <c r="AX40" i="15"/>
  <c r="AW5" i="15"/>
  <c r="AW25" i="15"/>
  <c r="AW41" i="15"/>
  <c r="AX13" i="15"/>
  <c r="AX25" i="15"/>
  <c r="AX33" i="15"/>
  <c r="AX41" i="15"/>
  <c r="AW12" i="15"/>
  <c r="AW20" i="15"/>
  <c r="AW32" i="15"/>
  <c r="AW40" i="15"/>
  <c r="AX12" i="15"/>
  <c r="AX24" i="15"/>
  <c r="AX32" i="15"/>
  <c r="AW13" i="15"/>
  <c r="AW21" i="15"/>
  <c r="AW33" i="15"/>
  <c r="AW37" i="15"/>
  <c r="AX5" i="15"/>
  <c r="AX9" i="15"/>
  <c r="AX17" i="15"/>
  <c r="AX21" i="15"/>
  <c r="AX29" i="15"/>
  <c r="AX37" i="15"/>
  <c r="AQ6" i="15"/>
  <c r="AQ7" i="15"/>
  <c r="AQ8" i="15"/>
  <c r="AF6" i="15"/>
  <c r="AF7" i="15"/>
  <c r="AF8" i="15"/>
  <c r="A6" i="15"/>
  <c r="A7" i="15"/>
  <c r="A8" i="15"/>
  <c r="AQ5" i="15"/>
  <c r="AF5" i="15"/>
  <c r="A5" i="15"/>
  <c r="E18" i="26" a="1"/>
  <c r="E18" i="26" s="1"/>
  <c r="E27" i="26" a="1"/>
  <c r="E27" i="26" s="1"/>
  <c r="E31" i="26" a="1"/>
  <c r="E31" i="26" s="1"/>
  <c r="E37" i="26" a="1"/>
  <c r="E37" i="26" s="1"/>
  <c r="E39" i="26" a="1"/>
  <c r="E39" i="26" s="1"/>
  <c r="E43" i="26" a="1"/>
  <c r="E43" i="26" s="1"/>
  <c r="E3" i="26" a="1"/>
  <c r="E3" i="26" s="1"/>
  <c r="D43" i="26"/>
  <c r="D44" i="26"/>
  <c r="E44" i="26" s="1" a="1"/>
  <c r="E44" i="26" s="1"/>
  <c r="D45" i="26"/>
  <c r="E45" i="26" s="1" a="1"/>
  <c r="E45" i="26" s="1"/>
  <c r="D46" i="26"/>
  <c r="E46" i="26" s="1" a="1"/>
  <c r="E46" i="26" s="1"/>
  <c r="D47" i="26"/>
  <c r="E47" i="26" s="1" a="1"/>
  <c r="E47" i="26" s="1"/>
  <c r="D48" i="26"/>
  <c r="E48" i="26" s="1" a="1"/>
  <c r="E48" i="26" s="1"/>
  <c r="D42" i="26"/>
  <c r="E42" i="26" s="1" a="1"/>
  <c r="E42" i="26" s="1"/>
  <c r="D39" i="26"/>
  <c r="D40" i="26"/>
  <c r="E40" i="26" s="1" a="1"/>
  <c r="E40" i="26" s="1"/>
  <c r="D41" i="26"/>
  <c r="E41" i="26" s="1" a="1"/>
  <c r="E41" i="26" s="1"/>
  <c r="D38" i="26"/>
  <c r="E38" i="26" s="1" a="1"/>
  <c r="E38" i="26" s="1"/>
  <c r="D36" i="26"/>
  <c r="E36" i="26" s="1" a="1"/>
  <c r="E36" i="26" s="1"/>
  <c r="D37" i="26"/>
  <c r="D35" i="26"/>
  <c r="E35" i="26" s="1" a="1"/>
  <c r="E35" i="26" s="1"/>
  <c r="D34" i="26"/>
  <c r="E34" i="26" s="1" a="1"/>
  <c r="E34" i="26" s="1"/>
  <c r="D33" i="26"/>
  <c r="E33" i="26" s="1" a="1"/>
  <c r="E33" i="26" s="1"/>
  <c r="D28" i="26"/>
  <c r="E28" i="26" s="1" a="1"/>
  <c r="E28" i="26" s="1"/>
  <c r="D29" i="26"/>
  <c r="E29" i="26" s="1" a="1"/>
  <c r="E29" i="26" s="1"/>
  <c r="D30" i="26"/>
  <c r="E30" i="26" s="1" a="1"/>
  <c r="E30" i="26" s="1"/>
  <c r="D31" i="26"/>
  <c r="D32" i="26"/>
  <c r="E32" i="26" s="1" a="1"/>
  <c r="E32" i="26" s="1"/>
  <c r="D27" i="26"/>
  <c r="D25" i="26"/>
  <c r="E25" i="26" s="1" a="1"/>
  <c r="E25" i="26" s="1"/>
  <c r="D26" i="26"/>
  <c r="E26" i="26" s="1" a="1"/>
  <c r="E26" i="26" s="1"/>
  <c r="D24" i="26"/>
  <c r="E24" i="26" s="1" a="1"/>
  <c r="E24" i="26" s="1"/>
  <c r="D20" i="26"/>
  <c r="E20" i="26" s="1" a="1"/>
  <c r="E20" i="26" s="1"/>
  <c r="D21" i="26"/>
  <c r="E21" i="26" s="1" a="1"/>
  <c r="E21" i="26" s="1"/>
  <c r="D22" i="26"/>
  <c r="E22" i="26" s="1" a="1"/>
  <c r="E22" i="26" s="1"/>
  <c r="D23" i="26"/>
  <c r="E23" i="26" s="1" a="1"/>
  <c r="E23" i="26" s="1"/>
  <c r="D19" i="26"/>
  <c r="E19" i="26" s="1" a="1"/>
  <c r="E19" i="26" s="1"/>
  <c r="D16" i="26"/>
  <c r="E16" i="26" s="1" a="1"/>
  <c r="E16" i="26" s="1"/>
  <c r="D17" i="26"/>
  <c r="E17" i="26" s="1" a="1"/>
  <c r="E17" i="26" s="1"/>
  <c r="D18" i="26"/>
  <c r="D15" i="26"/>
  <c r="E15" i="26" s="1" a="1"/>
  <c r="E15" i="26" s="1"/>
  <c r="D14" i="26"/>
  <c r="E14" i="26" s="1" a="1"/>
  <c r="E14" i="26" s="1"/>
  <c r="D11" i="26"/>
  <c r="E11" i="26" s="1" a="1"/>
  <c r="E11" i="26" s="1"/>
  <c r="D12" i="26"/>
  <c r="E12" i="26" s="1" a="1"/>
  <c r="E12" i="26" s="1"/>
  <c r="D13" i="26"/>
  <c r="E13" i="26" s="1" a="1"/>
  <c r="E13" i="26" s="1"/>
  <c r="D10" i="26"/>
  <c r="E10" i="26" s="1" a="1"/>
  <c r="E10" i="26" s="1"/>
  <c r="D5" i="26"/>
  <c r="E5" i="26" s="1" a="1"/>
  <c r="E5" i="26" s="1"/>
  <c r="D6" i="26"/>
  <c r="E6" i="26" s="1" a="1"/>
  <c r="E6" i="26" s="1"/>
  <c r="D7" i="26"/>
  <c r="E7" i="26" s="1" a="1"/>
  <c r="E7" i="26" s="1"/>
  <c r="D8" i="26"/>
  <c r="E8" i="26" s="1" a="1"/>
  <c r="E8" i="26" s="1"/>
  <c r="D9" i="26"/>
  <c r="E9" i="26" s="1" a="1"/>
  <c r="E9" i="26" s="1"/>
  <c r="D4" i="26"/>
  <c r="E4" i="26" s="1" a="1"/>
  <c r="E4" i="26" s="1"/>
  <c r="D3" i="26"/>
  <c r="D50" i="2" l="1"/>
  <c r="D51" i="2"/>
  <c r="D52" i="2"/>
  <c r="D53" i="2"/>
  <c r="D54" i="2"/>
  <c r="D55" i="2"/>
  <c r="D56" i="2"/>
  <c r="D57" i="2"/>
  <c r="D58" i="2"/>
  <c r="D59" i="2"/>
  <c r="D60" i="2"/>
  <c r="D46" i="2"/>
  <c r="D47" i="2"/>
  <c r="D48" i="2"/>
  <c r="D49" i="2"/>
  <c r="D61" i="2"/>
  <c r="B13" i="24" l="1"/>
  <c r="B10" i="24"/>
  <c r="D29" i="2" l="1"/>
  <c r="D30" i="2"/>
  <c r="D31" i="2"/>
  <c r="D32" i="2"/>
  <c r="D33" i="2"/>
  <c r="D34" i="2"/>
  <c r="D35" i="2"/>
  <c r="D27" i="2"/>
  <c r="D28" i="2"/>
  <c r="F3" i="14" l="1"/>
  <c r="F2" i="14"/>
  <c r="B12" i="14"/>
  <c r="B10" i="14"/>
  <c r="F5" i="14" l="1" a="1"/>
  <c r="F5" i="14" s="1"/>
  <c r="F6" i="14" a="1"/>
  <c r="F6" i="14" s="1"/>
  <c r="F4" i="14" a="1"/>
  <c r="F4" i="14" s="1"/>
  <c r="B15" i="10"/>
  <c r="B16" i="10"/>
  <c r="B17" i="10"/>
  <c r="B18" i="10"/>
  <c r="B21" i="10"/>
  <c r="B22" i="10"/>
  <c r="B23" i="10"/>
  <c r="B24" i="10"/>
  <c r="B12" i="10"/>
  <c r="B13" i="14" l="1"/>
  <c r="B11" i="10"/>
  <c r="B10" i="10"/>
  <c r="B9" i="10"/>
  <c r="C9" i="19" l="1"/>
  <c r="B9" i="19"/>
  <c r="J10" i="18"/>
  <c r="I10" i="18"/>
  <c r="J9" i="18"/>
  <c r="I9" i="18"/>
  <c r="F9" i="18"/>
  <c r="AJ23" i="17"/>
  <c r="AI23" i="17"/>
  <c r="AJ22" i="17"/>
  <c r="AI22" i="17"/>
  <c r="AJ21" i="17"/>
  <c r="AI21" i="17"/>
  <c r="AJ20" i="17"/>
  <c r="AI20" i="17"/>
  <c r="AJ19" i="17"/>
  <c r="AI19" i="17"/>
  <c r="AJ18" i="17"/>
  <c r="AI18" i="17"/>
  <c r="AJ17" i="17"/>
  <c r="AI17" i="17"/>
  <c r="AJ16" i="17"/>
  <c r="AI16" i="17"/>
  <c r="AJ15" i="17"/>
  <c r="AI15" i="17"/>
  <c r="AJ14" i="17"/>
  <c r="AI14" i="17"/>
  <c r="AF14" i="17"/>
  <c r="AJ13" i="17"/>
  <c r="AI13" i="17"/>
  <c r="AJ12" i="17"/>
  <c r="AI12" i="17"/>
  <c r="AJ11" i="17"/>
  <c r="AI11" i="17"/>
  <c r="AJ10" i="17"/>
  <c r="AI10" i="17"/>
  <c r="AJ9" i="17"/>
  <c r="AI9" i="17"/>
  <c r="AJ8" i="17"/>
  <c r="AI8" i="17"/>
  <c r="AJ7" i="17"/>
  <c r="AI7" i="17"/>
  <c r="AJ6" i="17"/>
  <c r="AI6" i="17"/>
  <c r="AJ5" i="17"/>
  <c r="AI5" i="17"/>
  <c r="AJ4" i="17"/>
  <c r="AI4" i="17"/>
  <c r="AF4" i="17"/>
  <c r="D5" i="2" l="1"/>
  <c r="D6" i="2"/>
  <c r="D7" i="2"/>
  <c r="D8" i="2"/>
  <c r="D9" i="2"/>
  <c r="D10" i="2"/>
  <c r="D11" i="2"/>
  <c r="D12" i="2"/>
  <c r="D13" i="2"/>
  <c r="D14" i="2"/>
  <c r="D15" i="2"/>
  <c r="D16" i="2"/>
  <c r="D17" i="2"/>
  <c r="D18" i="2"/>
  <c r="D19" i="2"/>
  <c r="D20" i="2"/>
  <c r="D21" i="2"/>
  <c r="D22" i="2"/>
  <c r="D23" i="2"/>
  <c r="D24" i="2"/>
  <c r="D25" i="2"/>
  <c r="D26" i="2"/>
  <c r="D36" i="2"/>
  <c r="D37" i="2"/>
  <c r="D38" i="2"/>
  <c r="D39" i="2"/>
  <c r="D40" i="2"/>
  <c r="D41" i="2"/>
  <c r="D42" i="2"/>
  <c r="D43" i="2"/>
  <c r="D44" i="2"/>
  <c r="D45" i="2"/>
  <c r="D4" i="2"/>
  <c r="B7"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7DCB24-06FB-44CD-8B06-0D5A19F1AC1F}" keepAlive="1" name="クエリ - 価格表 (卸価格）" description="ブック内の '価格表 (卸価格）' クエリへの接続です。" type="5" refreshedVersion="8" background="1" saveData="1">
    <dbPr connection="Provider=Microsoft.Mashup.OleDb.1;Data Source=$Workbook$;Location=&quot;価格表 (卸価格）&quot;;Extended Properties=&quot;&quot;" command="SELECT * FROM [価格表 (卸価格）]"/>
  </connection>
  <connection id="2" xr16:uid="{7B9F7BAA-814C-4C28-A201-F8D9A5B5B114}" keepAlive="1" name="クエリ - 価格表(1)" description="ブック内の '価格表' クエリへの接続です。" type="5" refreshedVersion="0" background="1">
    <dbPr connection="Provider=Microsoft.Mashup.OleDb.1;Data Source=$Workbook$;Location=価格表;Extended Properties=&quot;&quot;" command="SELECT * FROM [価格表]"/>
  </connection>
  <connection id="3" xr16:uid="{6C6D7A77-8C5C-4051-8882-A3CDF1871F5C}" keepAlive="1" name="クエリ - 価格表（セ価格）" description="ブック内の '価格表（セ価格）' クエリへの接続です。" type="5" refreshedVersion="8" background="1" saveData="1">
    <dbPr connection="Provider=Microsoft.Mashup.OleDb.1;Data Source=$Workbook$;Location=価格表（セ価格）;Extended Properties=&quot;&quot;" command="SELECT * FROM [価格表（セ価格）]"/>
  </connection>
  <connection id="4" xr16:uid="{6AE3818A-A455-4929-AB65-70A8E9ECEE95}" keepAlive="1" name="クエリ - 修理対応機種(1)" description="ブック内の '修理対応機種' クエリへの接続です。" type="5" refreshedVersion="0" background="1">
    <dbPr connection="Provider=Microsoft.Mashup.OleDb.1;Data Source=$Workbook$;Location=修理対応機種;Extended Properties=&quot;&quot;" command="SELECT * FROM [修理対応機種]"/>
  </connection>
  <connection id="5" xr16:uid="{43BAD077-D19D-4FB3-906B-90738D6D589F}" keepAlive="1" name="クエリ - 修理対応機種_p1" description="ブック内の '修理対応機種_p1' クエリへの接続です。" type="5" refreshedVersion="0" background="1">
    <dbPr connection="Provider=Microsoft.Mashup.OleDb.1;Data Source=$Workbook$;Location=修理対応機種_p1;Extended Properties=&quot;&quot;" command="SELECT * FROM [修理対応機種_p1]"/>
  </connection>
  <connection id="6" xr16:uid="{D54A526F-7FA7-4F47-AA9E-C6E129E328A4}" keepAlive="1" name="クエリ - 修理対応機種_p2" description="ブック内の '修理対応機種_p2' クエリへの接続です。" type="5" refreshedVersion="0" background="1">
    <dbPr connection="Provider=Microsoft.Mashup.OleDb.1;Data Source=$Workbook$;Location=修理対応機種_p2;Extended Properties=&quot;&quot;" command="SELECT * FROM [修理対応機種_p2]"/>
  </connection>
  <connection id="7" xr16:uid="{C034BDE2-67F5-4E06-A9A6-D03240E7A248}" keepAlive="1" name="クエリ - 修理対応機種_p3" description="ブック内の '修理対応機種_p3' クエリへの接続です。" type="5" refreshedVersion="0" background="1">
    <dbPr connection="Provider=Microsoft.Mashup.OleDb.1;Data Source=$Workbook$;Location=修理対応機種_p3;Extended Properties=&quot;&quot;" command="SELECT * FROM [修理対応機種_p3]"/>
  </connection>
  <connection id="8" xr16:uid="{97C7BCCA-3E31-45DD-B0F8-37D73AD73CE2}" keepAlive="1" name="クエリ - 修理対応機種_p4" description="ブック内の '修理対応機種_p4' クエリへの接続です。" type="5" refreshedVersion="0" background="1">
    <dbPr connection="Provider=Microsoft.Mashup.OleDb.1;Data Source=$Workbook$;Location=修理対応機種_p4;Extended Properties=&quot;&quot;" command="SELECT * FROM [修理対応機種_p4]"/>
  </connection>
  <connection id="9" xr16:uid="{852B6D88-B14D-4A9C-A1E2-4A32525D87DF}" keepAlive="1" name="クエリ - 修理対応機種_p5" description="ブック内の '修理対応機種_p5' クエリへの接続です。" type="5" refreshedVersion="0" background="1">
    <dbPr connection="Provider=Microsoft.Mashup.OleDb.1;Data Source=$Workbook$;Location=修理対応機種_p5;Extended Properties=&quot;&quot;" command="SELECT * FROM [修理対応機種_p5]"/>
  </connection>
  <connection id="10" xr16:uid="{F1A4343C-CC04-4A22-8D82-B14F70FDE30F}" keepAlive="1" name="クエリ - 修理対応機種_p6" description="ブック内の '修理対応機種_p6' クエリへの接続です。" type="5" refreshedVersion="0" background="1">
    <dbPr connection="Provider=Microsoft.Mashup.OleDb.1;Data Source=$Workbook$;Location=修理対応機種_p6;Extended Properties=&quot;&quot;" command="SELECT * FROM [修理対応機種_p6]"/>
  </connection>
  <connection id="11" xr16:uid="{3BCC4690-B81B-4743-A8FA-8CD6D0082FD3}" keepAlive="1" name="クエリ - 代替品交換機種(1)" description="ブック内の '代替品交換機種' クエリへの接続です。" type="5" refreshedVersion="0" background="1">
    <dbPr connection="Provider=Microsoft.Mashup.OleDb.1;Data Source=$Workbook$;Location=代替品交換機種;Extended Properties=&quot;&quot;" command="SELECT * FROM [代替品交換機種]"/>
  </connection>
  <connection id="12" xr16:uid="{96299BF7-24AB-4410-81F7-0B94A0B9A1A4}" keepAlive="1" name="クエリ - 代替品交換機種_p1" description="ブック内の '代替品交換機種_p1' クエリへの接続です。" type="5" refreshedVersion="0" background="1">
    <dbPr connection="Provider=Microsoft.Mashup.OleDb.1;Data Source=$Workbook$;Location=代替品交換機種_p1;Extended Properties=&quot;&quot;" command="SELECT * FROM [代替品交換機種_p1]"/>
  </connection>
  <connection id="13" xr16:uid="{CFA1BAFF-98E1-411D-8CA1-3F111E5883F0}" keepAlive="1" name="クエリ - 代替品交換機種_p2" description="ブック内の '代替品交換機種_p2' クエリへの接続です。" type="5" refreshedVersion="0" background="1">
    <dbPr connection="Provider=Microsoft.Mashup.OleDb.1;Data Source=$Workbook$;Location=代替品交換機種_p2;Extended Properties=&quot;&quot;" command="SELECT * FROM [代替品交換機種_p2]"/>
  </connection>
  <connection id="14" xr16:uid="{6AFD6B34-FA20-4889-A1ED-D00AF35AF500}" keepAlive="1" name="クエリ - 代替品交換機種_p3" description="ブック内の '代替品交換機種_p3' クエリへの接続です。" type="5" refreshedVersion="0" background="1">
    <dbPr connection="Provider=Microsoft.Mashup.OleDb.1;Data Source=$Workbook$;Location=代替品交換機種_p3;Extended Properties=&quot;&quot;" command="SELECT * FROM [代替品交換機種_p3]"/>
  </connection>
  <connection id="15" xr16:uid="{BBEA289D-0DF5-4E84-9BF3-5A5C10C6B844}" keepAlive="1" name="クエリ - 代替品交換機種_p4" description="ブック内の '代替品交換機種_p4' クエリへの接続です。" type="5" refreshedVersion="0" background="1">
    <dbPr connection="Provider=Microsoft.Mashup.OleDb.1;Data Source=$Workbook$;Location=代替品交換機種_p4;Extended Properties=&quot;&quot;" command="SELECT * FROM [代替品交換機種_p4]"/>
  </connection>
  <connection id="16" xr16:uid="{D74A8C31-0D0F-4802-B8AB-D8B2177721E6}" keepAlive="1" name="クエリ - 代替品交換機種_p5" description="ブック内の '代替品交換機種_p5' クエリへの接続です。" type="5" refreshedVersion="0" background="1">
    <dbPr connection="Provider=Microsoft.Mashup.OleDb.1;Data Source=$Workbook$;Location=代替品交換機種_p5;Extended Properties=&quot;&quot;" command="SELECT * FROM [代替品交換機種_p5]"/>
  </connection>
  <connection id="17" xr16:uid="{1B95A034-671D-45FF-B6B7-D17EF06D877C}" keepAlive="1" name="クエリ - 代替品交換機種_p6" description="ブック内の '代替品交換機種_p6' クエリへの接続です。" type="5" refreshedVersion="0" background="1">
    <dbPr connection="Provider=Microsoft.Mashup.OleDb.1;Data Source=$Workbook$;Location=代替品交換機種_p6;Extended Properties=&quot;&quot;" command="SELECT * FROM [代替品交換機種_p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<sst xmlns="http://schemas.openxmlformats.org/spreadsheetml/2006/main" count="9400" uniqueCount="2627">
  <si>
    <t>ログ情報</t>
    <rPh sb="2" eb="4">
      <t>ジョウホウ</t>
    </rPh>
    <phoneticPr fontId="7"/>
  </si>
  <si>
    <t>日時</t>
    <rPh sb="0" eb="2">
      <t>ニチジ</t>
    </rPh>
    <phoneticPr fontId="7"/>
  </si>
  <si>
    <t>作業端末</t>
    <rPh sb="0" eb="2">
      <t>サギョウ</t>
    </rPh>
    <rPh sb="2" eb="4">
      <t>タンマツ</t>
    </rPh>
    <phoneticPr fontId="7"/>
  </si>
  <si>
    <t>ユーザー名</t>
    <rPh sb="4" eb="5">
      <t>メイ</t>
    </rPh>
    <phoneticPr fontId="7"/>
  </si>
  <si>
    <t>作業項目
（実施したマクロ）</t>
    <rPh sb="0" eb="4">
      <t>サギョウコウモク</t>
    </rPh>
    <rPh sb="6" eb="8">
      <t>ジッシ</t>
    </rPh>
    <phoneticPr fontId="7"/>
  </si>
  <si>
    <t>結果</t>
    <rPh sb="0" eb="2">
      <t>ケッカ</t>
    </rPh>
    <phoneticPr fontId="7"/>
  </si>
  <si>
    <t>変更履歴</t>
    <rPh sb="0" eb="2">
      <t>ヘンコウ</t>
    </rPh>
    <rPh sb="2" eb="4">
      <t>リレキ</t>
    </rPh>
    <phoneticPr fontId="7"/>
  </si>
  <si>
    <t>ver.</t>
    <phoneticPr fontId="7"/>
  </si>
  <si>
    <t>変更内容</t>
    <rPh sb="0" eb="2">
      <t>ヘンコウ</t>
    </rPh>
    <rPh sb="2" eb="4">
      <t>ナイヨウ</t>
    </rPh>
    <phoneticPr fontId="7"/>
  </si>
  <si>
    <t>変更日</t>
    <rPh sb="0" eb="3">
      <t>ヘンコウビ</t>
    </rPh>
    <phoneticPr fontId="7"/>
  </si>
  <si>
    <t>氏名</t>
    <rPh sb="0" eb="2">
      <t>シメイ</t>
    </rPh>
    <phoneticPr fontId="7"/>
  </si>
  <si>
    <t>メニュー</t>
    <phoneticPr fontId="7"/>
  </si>
  <si>
    <t>項番</t>
    <rPh sb="0" eb="2">
      <t>コウバン</t>
    </rPh>
    <phoneticPr fontId="7"/>
  </si>
  <si>
    <t>項目</t>
    <rPh sb="0" eb="2">
      <t>コウモク</t>
    </rPh>
    <phoneticPr fontId="7"/>
  </si>
  <si>
    <t>説明</t>
    <rPh sb="0" eb="2">
      <t>セツメイ</t>
    </rPh>
    <phoneticPr fontId="7"/>
  </si>
  <si>
    <t>マルセ</t>
    <phoneticPr fontId="7"/>
  </si>
  <si>
    <t>メール自動作成ツール</t>
    <rPh sb="3" eb="5">
      <t>ジドウ</t>
    </rPh>
    <rPh sb="5" eb="7">
      <t>サクセイ</t>
    </rPh>
    <phoneticPr fontId="7"/>
  </si>
  <si>
    <t>差出人</t>
    <rPh sb="0" eb="3">
      <t>サシダシニン</t>
    </rPh>
    <phoneticPr fontId="7"/>
  </si>
  <si>
    <t>To</t>
    <phoneticPr fontId="7"/>
  </si>
  <si>
    <t>CC</t>
  </si>
  <si>
    <t>BCC</t>
  </si>
  <si>
    <t>添付ファイル１</t>
    <rPh sb="0" eb="2">
      <t>テンプ</t>
    </rPh>
    <phoneticPr fontId="7"/>
  </si>
  <si>
    <t>添付ファイル２</t>
    <rPh sb="0" eb="2">
      <t>テンプ</t>
    </rPh>
    <phoneticPr fontId="7"/>
  </si>
  <si>
    <t>添付ファイル３</t>
    <rPh sb="0" eb="2">
      <t>テンプ</t>
    </rPh>
    <phoneticPr fontId="7"/>
  </si>
  <si>
    <t>件名</t>
    <rPh sb="0" eb="2">
      <t>ケンメイ</t>
    </rPh>
    <phoneticPr fontId="7"/>
  </si>
  <si>
    <t>本文１</t>
    <rPh sb="0" eb="2">
      <t>ホンブン</t>
    </rPh>
    <phoneticPr fontId="7"/>
  </si>
  <si>
    <t>本文２</t>
    <rPh sb="0" eb="2">
      <t>ホンブン</t>
    </rPh>
    <phoneticPr fontId="7"/>
  </si>
  <si>
    <t>本文３</t>
    <rPh sb="0" eb="2">
      <t>ホンブン</t>
    </rPh>
    <phoneticPr fontId="7"/>
  </si>
  <si>
    <t>本文４</t>
    <rPh sb="0" eb="2">
      <t>ホンブン</t>
    </rPh>
    <phoneticPr fontId="7"/>
  </si>
  <si>
    <t>本文５</t>
    <rPh sb="0" eb="2">
      <t>ホンブン</t>
    </rPh>
    <phoneticPr fontId="7"/>
  </si>
  <si>
    <t>本文６</t>
    <rPh sb="0" eb="2">
      <t>ホンブン</t>
    </rPh>
    <phoneticPr fontId="7"/>
  </si>
  <si>
    <t>平野　翔士</t>
    <rPh sb="0" eb="2">
      <t>ヒラノ</t>
    </rPh>
    <rPh sb="3" eb="5">
      <t>ショウジ</t>
    </rPh>
    <phoneticPr fontId="7"/>
  </si>
  <si>
    <t>■i-Proケアパック管理表（オンサイト）</t>
    <rPh sb="11" eb="13">
      <t>カンリ</t>
    </rPh>
    <rPh sb="13" eb="14">
      <t>ヒョウ</t>
    </rPh>
    <phoneticPr fontId="27"/>
  </si>
  <si>
    <t>登録番号</t>
    <rPh sb="0" eb="2">
      <t>トウロク</t>
    </rPh>
    <rPh sb="2" eb="4">
      <t>バンゴウ</t>
    </rPh>
    <phoneticPr fontId="27"/>
  </si>
  <si>
    <t>営業部門</t>
    <rPh sb="0" eb="2">
      <t>エイギョウ</t>
    </rPh>
    <rPh sb="2" eb="4">
      <t>ブモン</t>
    </rPh>
    <phoneticPr fontId="27"/>
  </si>
  <si>
    <t>保守部門</t>
    <rPh sb="0" eb="2">
      <t>ホシュ</t>
    </rPh>
    <rPh sb="2" eb="4">
      <t>ブモン</t>
    </rPh>
    <phoneticPr fontId="27"/>
  </si>
  <si>
    <t>ハードウェア設置先　情報</t>
    <rPh sb="6" eb="8">
      <t>セッチ</t>
    </rPh>
    <rPh sb="8" eb="9">
      <t>サキ</t>
    </rPh>
    <rPh sb="10" eb="12">
      <t>ジョウホウ</t>
    </rPh>
    <phoneticPr fontId="27"/>
  </si>
  <si>
    <t>登録者　情報</t>
    <rPh sb="0" eb="3">
      <t>トウロクシャ</t>
    </rPh>
    <rPh sb="4" eb="6">
      <t>ジョウホウ</t>
    </rPh>
    <phoneticPr fontId="27"/>
  </si>
  <si>
    <t>お客様　情報</t>
    <rPh sb="1" eb="2">
      <t>キャク</t>
    </rPh>
    <rPh sb="2" eb="3">
      <t>サマ</t>
    </rPh>
    <rPh sb="4" eb="6">
      <t>ジョウホウ</t>
    </rPh>
    <phoneticPr fontId="27"/>
  </si>
  <si>
    <r>
      <t>保守形態：</t>
    </r>
    <r>
      <rPr>
        <b/>
        <sz val="11"/>
        <color rgb="FFFF0000"/>
        <rFont val="ＭＳ Ｐゴシック"/>
        <family val="3"/>
        <charset val="128"/>
      </rPr>
      <t>オンサイト</t>
    </r>
    <rPh sb="0" eb="2">
      <t>ホシュ</t>
    </rPh>
    <rPh sb="2" eb="4">
      <t>ケイタイ</t>
    </rPh>
    <phoneticPr fontId="27"/>
  </si>
  <si>
    <t>台数</t>
    <rPh sb="0" eb="2">
      <t>ダイスウ</t>
    </rPh>
    <phoneticPr fontId="27"/>
  </si>
  <si>
    <t>単価</t>
    <rPh sb="0" eb="2">
      <t>タンカ</t>
    </rPh>
    <phoneticPr fontId="27"/>
  </si>
  <si>
    <t>金額</t>
    <rPh sb="0" eb="2">
      <t>キンガク</t>
    </rPh>
    <phoneticPr fontId="27"/>
  </si>
  <si>
    <t>受注月</t>
    <rPh sb="0" eb="2">
      <t>ジュチュウ</t>
    </rPh>
    <rPh sb="2" eb="3">
      <t>ツキ</t>
    </rPh>
    <phoneticPr fontId="27"/>
  </si>
  <si>
    <t>契約期間</t>
    <rPh sb="0" eb="2">
      <t>ケイヤク</t>
    </rPh>
    <rPh sb="2" eb="4">
      <t>キカン</t>
    </rPh>
    <phoneticPr fontId="27"/>
  </si>
  <si>
    <t>対象機器</t>
    <rPh sb="0" eb="2">
      <t>タイショウ</t>
    </rPh>
    <rPh sb="2" eb="4">
      <t>キキ</t>
    </rPh>
    <phoneticPr fontId="27"/>
  </si>
  <si>
    <t>シリアル№</t>
    <phoneticPr fontId="27"/>
  </si>
  <si>
    <t>購入日</t>
    <rPh sb="0" eb="2">
      <t>コウニュウ</t>
    </rPh>
    <rPh sb="2" eb="3">
      <t>ビ</t>
    </rPh>
    <phoneticPr fontId="27"/>
  </si>
  <si>
    <t>消耗品表示</t>
    <rPh sb="0" eb="2">
      <t>ショウモウ</t>
    </rPh>
    <rPh sb="2" eb="3">
      <t>ヒン</t>
    </rPh>
    <rPh sb="3" eb="5">
      <t>ヒョウジ</t>
    </rPh>
    <phoneticPr fontId="27"/>
  </si>
  <si>
    <t>FSS登録日</t>
    <rPh sb="3" eb="5">
      <t>トウロク</t>
    </rPh>
    <rPh sb="5" eb="6">
      <t>ビ</t>
    </rPh>
    <phoneticPr fontId="27"/>
  </si>
  <si>
    <t>注文書(業務依頼書)№</t>
    <rPh sb="0" eb="3">
      <t>チュウモンショ</t>
    </rPh>
    <rPh sb="4" eb="6">
      <t>ギョウム</t>
    </rPh>
    <rPh sb="6" eb="8">
      <t>イライ</t>
    </rPh>
    <rPh sb="8" eb="9">
      <t>ショ</t>
    </rPh>
    <phoneticPr fontId="27"/>
  </si>
  <si>
    <t>消耗品連絡実施月</t>
    <rPh sb="0" eb="2">
      <t>ショウモウ</t>
    </rPh>
    <rPh sb="2" eb="3">
      <t>ヒン</t>
    </rPh>
    <rPh sb="3" eb="5">
      <t>レンラク</t>
    </rPh>
    <rPh sb="5" eb="7">
      <t>ジッシ</t>
    </rPh>
    <rPh sb="7" eb="8">
      <t>ヅキ</t>
    </rPh>
    <phoneticPr fontId="27"/>
  </si>
  <si>
    <t>備考</t>
    <rPh sb="0" eb="2">
      <t>ビコウ</t>
    </rPh>
    <phoneticPr fontId="27"/>
  </si>
  <si>
    <t>部署名</t>
    <rPh sb="0" eb="2">
      <t>ブショ</t>
    </rPh>
    <rPh sb="2" eb="3">
      <t>メイ</t>
    </rPh>
    <phoneticPr fontId="27"/>
  </si>
  <si>
    <t>担当者</t>
    <rPh sb="0" eb="3">
      <t>タントウシャ</t>
    </rPh>
    <phoneticPr fontId="27"/>
  </si>
  <si>
    <t>保守分社</t>
    <rPh sb="0" eb="2">
      <t>ホシュ</t>
    </rPh>
    <rPh sb="2" eb="4">
      <t>ブンシャ</t>
    </rPh>
    <phoneticPr fontId="27"/>
  </si>
  <si>
    <t>中四国部２課</t>
  </si>
  <si>
    <t>法人、団体名</t>
    <phoneticPr fontId="27"/>
  </si>
  <si>
    <t>郵便番号</t>
    <rPh sb="0" eb="2">
      <t>ユウビン</t>
    </rPh>
    <rPh sb="2" eb="4">
      <t>バンゴウ</t>
    </rPh>
    <phoneticPr fontId="27"/>
  </si>
  <si>
    <t>都道府県</t>
    <rPh sb="0" eb="4">
      <t>トドウフケン</t>
    </rPh>
    <phoneticPr fontId="27"/>
  </si>
  <si>
    <t>松阪市大口町１５２１－２</t>
  </si>
  <si>
    <t>所属部署</t>
    <rPh sb="0" eb="2">
      <t>ショゾク</t>
    </rPh>
    <rPh sb="2" eb="4">
      <t>ブショ</t>
    </rPh>
    <phoneticPr fontId="27"/>
  </si>
  <si>
    <t>電話番号</t>
    <phoneticPr fontId="27"/>
  </si>
  <si>
    <t>FAX番号</t>
    <phoneticPr fontId="27"/>
  </si>
  <si>
    <t>住所</t>
    <phoneticPr fontId="27"/>
  </si>
  <si>
    <t>年数</t>
    <rPh sb="0" eb="2">
      <t>ネンスウ</t>
    </rPh>
    <phoneticPr fontId="27"/>
  </si>
  <si>
    <t>種別</t>
    <rPh sb="0" eb="2">
      <t>シュベツ</t>
    </rPh>
    <phoneticPr fontId="27"/>
  </si>
  <si>
    <t>(オプション)</t>
    <phoneticPr fontId="27"/>
  </si>
  <si>
    <t>開始日</t>
    <rPh sb="0" eb="3">
      <t>カイシビ</t>
    </rPh>
    <phoneticPr fontId="27"/>
  </si>
  <si>
    <t>～</t>
    <phoneticPr fontId="27"/>
  </si>
  <si>
    <t>終了日</t>
    <rPh sb="0" eb="3">
      <t>シュウリョウビ</t>
    </rPh>
    <phoneticPr fontId="27"/>
  </si>
  <si>
    <t>品番</t>
    <rPh sb="0" eb="2">
      <t>ヒンバン</t>
    </rPh>
    <phoneticPr fontId="7"/>
  </si>
  <si>
    <t>卸</t>
    <rPh sb="0" eb="1">
      <t>オロシ</t>
    </rPh>
    <phoneticPr fontId="7"/>
  </si>
  <si>
    <t>卸合計</t>
    <rPh sb="0" eb="1">
      <t>オロシ</t>
    </rPh>
    <rPh sb="1" eb="3">
      <t>ゴウケイ</t>
    </rPh>
    <phoneticPr fontId="7"/>
  </si>
  <si>
    <t>マルセ合計</t>
    <rPh sb="3" eb="5">
      <t>ゴウケイ</t>
    </rPh>
    <phoneticPr fontId="7"/>
  </si>
  <si>
    <t>消耗部品交換対象</t>
    <phoneticPr fontId="27"/>
  </si>
  <si>
    <t>兵庫県</t>
    <phoneticPr fontId="27"/>
  </si>
  <si>
    <t>WV-S2135UX</t>
    <phoneticPr fontId="27"/>
  </si>
  <si>
    <t>J-WVS1135VUX-CP5A</t>
    <phoneticPr fontId="27"/>
  </si>
  <si>
    <t>■i-Proケアパック管理表（センドバック）</t>
    <rPh sb="11" eb="13">
      <t>カンリ</t>
    </rPh>
    <rPh sb="13" eb="14">
      <t>ヒョウ</t>
    </rPh>
    <phoneticPr fontId="27"/>
  </si>
  <si>
    <r>
      <t>保守形態：</t>
    </r>
    <r>
      <rPr>
        <b/>
        <sz val="11"/>
        <color rgb="FFFF0000"/>
        <rFont val="ＭＳ Ｐゴシック"/>
        <family val="3"/>
        <charset val="128"/>
      </rPr>
      <t>センドバック</t>
    </r>
    <rPh sb="0" eb="2">
      <t>ホシュ</t>
    </rPh>
    <rPh sb="2" eb="4">
      <t>ケイタイ</t>
    </rPh>
    <phoneticPr fontId="27"/>
  </si>
  <si>
    <t>ご担当者名</t>
    <rPh sb="1" eb="4">
      <t>タントウシャ</t>
    </rPh>
    <rPh sb="4" eb="5">
      <t>メイ</t>
    </rPh>
    <phoneticPr fontId="27"/>
  </si>
  <si>
    <t>年数</t>
  </si>
  <si>
    <t>種別</t>
  </si>
  <si>
    <r>
      <rPr>
        <sz val="10"/>
        <rFont val="ＭＳ Ｐゴシック"/>
        <family val="3"/>
        <charset val="128"/>
      </rPr>
      <t>Nパケ</t>
    </r>
    <r>
      <rPr>
        <sz val="11"/>
        <color theme="1"/>
        <rFont val="游ゴシック"/>
        <family val="2"/>
        <charset val="128"/>
        <scheme val="minor"/>
      </rPr>
      <t xml:space="preserve">
</t>
    </r>
    <r>
      <rPr>
        <sz val="9"/>
        <rFont val="ＭＳ Ｐゴシック"/>
        <family val="3"/>
        <charset val="128"/>
      </rPr>
      <t>(先出し)</t>
    </r>
    <phoneticPr fontId="27"/>
  </si>
  <si>
    <t>開始</t>
    <rPh sb="0" eb="2">
      <t>カイシ</t>
    </rPh>
    <phoneticPr fontId="7"/>
  </si>
  <si>
    <t>終了</t>
    <rPh sb="0" eb="2">
      <t>シュウリョウ</t>
    </rPh>
    <phoneticPr fontId="7"/>
  </si>
  <si>
    <t>Nパケ</t>
    <phoneticPr fontId="27"/>
  </si>
  <si>
    <t>■i-Proケアパック管理表（Nパッケージ）</t>
    <rPh sb="11" eb="13">
      <t>カンリ</t>
    </rPh>
    <rPh sb="13" eb="14">
      <t>ヒョウ</t>
    </rPh>
    <phoneticPr fontId="27"/>
  </si>
  <si>
    <t>開始</t>
    <rPh sb="0" eb="2">
      <t>カイシ</t>
    </rPh>
    <phoneticPr fontId="27"/>
  </si>
  <si>
    <t>終了</t>
    <rPh sb="0" eb="2">
      <t>シュウリョウ</t>
    </rPh>
    <phoneticPr fontId="27"/>
  </si>
  <si>
    <t>IPN24001</t>
    <phoneticPr fontId="27"/>
  </si>
  <si>
    <t>エンタＰ営業２部ＳＥＣ１課</t>
    <phoneticPr fontId="27"/>
  </si>
  <si>
    <t>松浪</t>
    <phoneticPr fontId="27"/>
  </si>
  <si>
    <t>ショップインエミテラス所沢</t>
    <phoneticPr fontId="27"/>
  </si>
  <si>
    <t>359-1124</t>
    <phoneticPr fontId="27"/>
  </si>
  <si>
    <t>埼玉県</t>
    <phoneticPr fontId="27"/>
  </si>
  <si>
    <t>所沢市東住吉10ｰ1 エミテラス所沢1F</t>
    <phoneticPr fontId="27"/>
  </si>
  <si>
    <t>04-2997-9680</t>
    <phoneticPr fontId="27"/>
  </si>
  <si>
    <t>綜合警備保障株式会社</t>
    <phoneticPr fontId="27"/>
  </si>
  <si>
    <t>107-8511</t>
    <phoneticPr fontId="27"/>
  </si>
  <si>
    <t>東京都港区元赤坂１－６－６</t>
    <phoneticPr fontId="27"/>
  </si>
  <si>
    <t>首都圏営業部</t>
    <phoneticPr fontId="27"/>
  </si>
  <si>
    <t>03-6804-1081</t>
    <phoneticPr fontId="27"/>
  </si>
  <si>
    <t>年間</t>
    <rPh sb="0" eb="2">
      <t>ネンカン</t>
    </rPh>
    <phoneticPr fontId="27"/>
  </si>
  <si>
    <t>Nパケ
(先出し)</t>
    <phoneticPr fontId="27"/>
  </si>
  <si>
    <t>XGV42297</t>
  </si>
  <si>
    <t>24658838-001</t>
    <phoneticPr fontId="27"/>
  </si>
  <si>
    <t>XGV42460</t>
  </si>
  <si>
    <t>XGV30452</t>
  </si>
  <si>
    <t>XGV30466</t>
  </si>
  <si>
    <t>XGV30394</t>
  </si>
  <si>
    <t>XGV30344</t>
  </si>
  <si>
    <t>XGV42312</t>
  </si>
  <si>
    <t>XGV42487</t>
  </si>
  <si>
    <t>WJ-NU201/2</t>
  </si>
  <si>
    <t>XGV27724</t>
  </si>
  <si>
    <t>LCD-AH221EDB-A</t>
  </si>
  <si>
    <t>不明</t>
  </si>
  <si>
    <t>IPN24002</t>
    <phoneticPr fontId="27"/>
  </si>
  <si>
    <t>ショップインラソラ川西店</t>
    <phoneticPr fontId="27"/>
  </si>
  <si>
    <t>666-0033</t>
    <phoneticPr fontId="27"/>
  </si>
  <si>
    <t>市栄町11番1号</t>
    <phoneticPr fontId="27"/>
  </si>
  <si>
    <t>072-740-2500</t>
    <phoneticPr fontId="27"/>
  </si>
  <si>
    <t>WV-S2135LUX</t>
  </si>
  <si>
    <t>WJV41843</t>
  </si>
  <si>
    <t>24712327-001</t>
    <phoneticPr fontId="27"/>
  </si>
  <si>
    <t>XKV15614</t>
  </si>
  <si>
    <t>XJV41421</t>
  </si>
  <si>
    <t>XKV15637</t>
  </si>
  <si>
    <t>XKV41847</t>
  </si>
  <si>
    <t>XKV15600</t>
  </si>
  <si>
    <t>XJV41844</t>
  </si>
  <si>
    <t>XKV15603</t>
  </si>
  <si>
    <t>XJV03483</t>
  </si>
  <si>
    <t>16RA123561DP</t>
  </si>
  <si>
    <t>定期交換の場合</t>
    <rPh sb="0" eb="2">
      <t>テイキ</t>
    </rPh>
    <rPh sb="2" eb="4">
      <t>コウカン</t>
    </rPh>
    <rPh sb="5" eb="7">
      <t>バアイ</t>
    </rPh>
    <phoneticPr fontId="27"/>
  </si>
  <si>
    <t>表の外に記載　（　定期消耗品交換時連絡先に記載がある場合　）</t>
    <rPh sb="0" eb="1">
      <t>ヒョウ</t>
    </rPh>
    <rPh sb="2" eb="3">
      <t>ソト</t>
    </rPh>
    <rPh sb="4" eb="6">
      <t>キサイ</t>
    </rPh>
    <rPh sb="21" eb="23">
      <t>キサイ</t>
    </rPh>
    <rPh sb="26" eb="28">
      <t>バアイ</t>
    </rPh>
    <phoneticPr fontId="27"/>
  </si>
  <si>
    <t>定期消耗品交換時連絡先：富士通ネットワークソリューションズ株式会社 テクノロジーソリューション本部 カスタマーサービスセンター 0120-54-3433</t>
    <phoneticPr fontId="27"/>
  </si>
  <si>
    <t>ケアパック品番</t>
    <rPh sb="5" eb="7">
      <t>ヒンバン</t>
    </rPh>
    <phoneticPr fontId="27"/>
  </si>
  <si>
    <t>卸</t>
    <rPh sb="0" eb="1">
      <t>オロシ</t>
    </rPh>
    <phoneticPr fontId="27"/>
  </si>
  <si>
    <t>マルセ</t>
    <phoneticPr fontId="27"/>
  </si>
  <si>
    <t>J-WJNX300/8-CP5A</t>
    <phoneticPr fontId="27"/>
  </si>
  <si>
    <t>合計</t>
    <rPh sb="0" eb="2">
      <t>ゴウケイ</t>
    </rPh>
    <phoneticPr fontId="27"/>
  </si>
  <si>
    <t>b1.0</t>
    <phoneticPr fontId="7"/>
  </si>
  <si>
    <t>プロトタイプ</t>
    <phoneticPr fontId="7"/>
  </si>
  <si>
    <t>【i-Proケアパック】管理表</t>
  </si>
  <si>
    <r>
      <t>予め年度を選択すること</t>
    </r>
    <r>
      <rPr>
        <i/>
        <sz val="11"/>
        <color theme="1"/>
        <rFont val="UD デジタル 教科書体 N-B"/>
        <family val="1"/>
        <charset val="128"/>
      </rPr>
      <t xml:space="preserve"> →→→</t>
    </r>
    <rPh sb="0" eb="1">
      <t>アラカジ</t>
    </rPh>
    <rPh sb="2" eb="4">
      <t>ネンド</t>
    </rPh>
    <rPh sb="5" eb="7">
      <t>センタク</t>
    </rPh>
    <phoneticPr fontId="7"/>
  </si>
  <si>
    <t>添付ファイル作成</t>
    <rPh sb="0" eb="2">
      <t>テンプ</t>
    </rPh>
    <rPh sb="6" eb="8">
      <t>サクセイ</t>
    </rPh>
    <phoneticPr fontId="7"/>
  </si>
  <si>
    <t>メール作成</t>
    <rPh sb="3" eb="5">
      <t>サクセイ</t>
    </rPh>
    <phoneticPr fontId="7"/>
  </si>
  <si>
    <t>処理した日付</t>
    <rPh sb="0" eb="2">
      <t>ショリ</t>
    </rPh>
    <rPh sb="4" eb="6">
      <t>ヒヅケ</t>
    </rPh>
    <phoneticPr fontId="7"/>
  </si>
  <si>
    <t>項番</t>
    <rPh sb="0" eb="2">
      <t>コウバン</t>
    </rPh>
    <phoneticPr fontId="7"/>
  </si>
  <si>
    <t>IPAyyxxx</t>
    <phoneticPr fontId="7"/>
  </si>
  <si>
    <t>業務依頼書
依頼（件名）担当者</t>
    <rPh sb="0" eb="2">
      <t>ギョウム</t>
    </rPh>
    <rPh sb="2" eb="5">
      <t>イライショ</t>
    </rPh>
    <rPh sb="6" eb="8">
      <t>イライ</t>
    </rPh>
    <rPh sb="9" eb="11">
      <t>ケンメイ</t>
    </rPh>
    <rPh sb="12" eb="15">
      <t>タントウシャ</t>
    </rPh>
    <phoneticPr fontId="7"/>
  </si>
  <si>
    <t>ＦＳ総括部</t>
    <phoneticPr fontId="7"/>
  </si>
  <si>
    <t>業務依頼書
事業部門（上）</t>
    <rPh sb="11" eb="12">
      <t>ウエ</t>
    </rPh>
    <phoneticPr fontId="7"/>
  </si>
  <si>
    <t>業務依頼書
事業部門（下）</t>
    <rPh sb="0" eb="2">
      <t>ギョウム</t>
    </rPh>
    <rPh sb="2" eb="5">
      <t>イライショ</t>
    </rPh>
    <rPh sb="6" eb="8">
      <t>ジギョウ</t>
    </rPh>
    <rPh sb="8" eb="10">
      <t>ブモン</t>
    </rPh>
    <rPh sb="11" eb="12">
      <t>シタ</t>
    </rPh>
    <phoneticPr fontId="7"/>
  </si>
  <si>
    <t>登録シートG23　OR　機器明細シートD5</t>
    <rPh sb="0" eb="2">
      <t>トウロク</t>
    </rPh>
    <rPh sb="12" eb="14">
      <t>キキ</t>
    </rPh>
    <rPh sb="14" eb="16">
      <t>メイサイ</t>
    </rPh>
    <phoneticPr fontId="7"/>
  </si>
  <si>
    <t>G25 /F5</t>
    <phoneticPr fontId="7"/>
  </si>
  <si>
    <t>G26/G5</t>
    <phoneticPr fontId="7"/>
  </si>
  <si>
    <t>③</t>
    <phoneticPr fontId="7"/>
  </si>
  <si>
    <t>②</t>
    <phoneticPr fontId="7"/>
  </si>
  <si>
    <t>X17～</t>
    <phoneticPr fontId="7"/>
  </si>
  <si>
    <t>登録シート
G18～</t>
    <rPh sb="0" eb="2">
      <t>トウロク</t>
    </rPh>
    <phoneticPr fontId="7"/>
  </si>
  <si>
    <t>金額</t>
    <phoneticPr fontId="27"/>
  </si>
  <si>
    <t>業務依頼書
契約開始日</t>
    <rPh sb="0" eb="2">
      <t>ギョウム</t>
    </rPh>
    <rPh sb="2" eb="5">
      <t>イライショ</t>
    </rPh>
    <rPh sb="6" eb="8">
      <t>ケイヤク</t>
    </rPh>
    <rPh sb="8" eb="11">
      <t>カイシビ</t>
    </rPh>
    <phoneticPr fontId="7"/>
  </si>
  <si>
    <t>原則"１"</t>
    <rPh sb="0" eb="2">
      <t>ゲンソク</t>
    </rPh>
    <phoneticPr fontId="7"/>
  </si>
  <si>
    <t>卸かマルセか判断（AU～AX列で計算してどっちの値と一致するか判断）</t>
    <rPh sb="0" eb="1">
      <t>オロシ</t>
    </rPh>
    <rPh sb="6" eb="8">
      <t>ハンダン</t>
    </rPh>
    <rPh sb="14" eb="15">
      <t>レツ</t>
    </rPh>
    <rPh sb="16" eb="18">
      <t>ケイサン</t>
    </rPh>
    <rPh sb="24" eb="25">
      <t>アタイ</t>
    </rPh>
    <rPh sb="26" eb="28">
      <t>イッチ</t>
    </rPh>
    <rPh sb="31" eb="33">
      <t>ハンダン</t>
    </rPh>
    <phoneticPr fontId="7"/>
  </si>
  <si>
    <t>=AE</t>
    <phoneticPr fontId="7"/>
  </si>
  <si>
    <t>年</t>
    <phoneticPr fontId="7"/>
  </si>
  <si>
    <t>契約工期（始）</t>
    <rPh sb="0" eb="2">
      <t>ケイヤク</t>
    </rPh>
    <rPh sb="2" eb="4">
      <t>コウキ</t>
    </rPh>
    <rPh sb="5" eb="6">
      <t>ハジ</t>
    </rPh>
    <phoneticPr fontId="7"/>
  </si>
  <si>
    <t>4年・5年かつレコーダー</t>
    <rPh sb="1" eb="2">
      <t>ネン</t>
    </rPh>
    <rPh sb="4" eb="5">
      <t>ネン</t>
    </rPh>
    <phoneticPr fontId="7"/>
  </si>
  <si>
    <t>業務依頼書
注文書（件名）番号</t>
    <rPh sb="0" eb="2">
      <t>ギョウム</t>
    </rPh>
    <rPh sb="2" eb="5">
      <t>イライショ</t>
    </rPh>
    <rPh sb="6" eb="9">
      <t>チュウモンショ</t>
    </rPh>
    <rPh sb="10" eb="12">
      <t>ケンメイ</t>
    </rPh>
    <rPh sb="13" eb="15">
      <t>バンゴウ</t>
    </rPh>
    <phoneticPr fontId="7"/>
  </si>
  <si>
    <t>"=IF(COUNTIF($AN5,"*消耗部品交換対象*"),IF(ISBLANK($AH5),"契約期間 未入力",EDATE($AH5,30)),"")</t>
    <phoneticPr fontId="7"/>
  </si>
  <si>
    <t>登録シート
"定期消耗品交換時連絡先："＆G31＆ ”担当”＆Y32　＆”様"　&amp;G33</t>
    <rPh sb="0" eb="2">
      <t>トウロク</t>
    </rPh>
    <phoneticPr fontId="7"/>
  </si>
  <si>
    <t>価格表から転記</t>
    <rPh sb="0" eb="3">
      <t>カカクヒョウ</t>
    </rPh>
    <rPh sb="5" eb="7">
      <t>テンキ</t>
    </rPh>
    <phoneticPr fontId="7"/>
  </si>
  <si>
    <t>「iProケアパック登録シート」を取り込む</t>
    <rPh sb="10" eb="12">
      <t>トウロク</t>
    </rPh>
    <rPh sb="17" eb="18">
      <t>ト</t>
    </rPh>
    <rPh sb="19" eb="20">
      <t>コ</t>
    </rPh>
    <phoneticPr fontId="7"/>
  </si>
  <si>
    <t>業務依頼書を取り込む</t>
    <rPh sb="0" eb="2">
      <t>ギョウム</t>
    </rPh>
    <rPh sb="2" eb="5">
      <t>イライショ</t>
    </rPh>
    <rPh sb="6" eb="7">
      <t>ト</t>
    </rPh>
    <rPh sb="8" eb="9">
      <t>コ</t>
    </rPh>
    <phoneticPr fontId="7"/>
  </si>
  <si>
    <t>価格表マスターを更新＆取り込み</t>
    <rPh sb="0" eb="3">
      <t>カカクヒョウ</t>
    </rPh>
    <rPh sb="8" eb="10">
      <t>コウシン</t>
    </rPh>
    <rPh sb="11" eb="12">
      <t>ト</t>
    </rPh>
    <rPh sb="13" eb="14">
      <t>コ</t>
    </rPh>
    <phoneticPr fontId="7"/>
  </si>
  <si>
    <t>b1.1</t>
  </si>
  <si>
    <t>2025/01/20-11:21</t>
    <phoneticPr fontId="7"/>
  </si>
  <si>
    <t>機器明細シート
B５～B最終行</t>
    <rPh sb="0" eb="4">
      <t>キキメイサイ</t>
    </rPh>
    <rPh sb="12" eb="15">
      <t>サイシュウギョウ</t>
    </rPh>
    <phoneticPr fontId="7"/>
  </si>
  <si>
    <t>機器明細シート
C５～C最終行</t>
    <rPh sb="0" eb="4">
      <t>キキメイサイ</t>
    </rPh>
    <rPh sb="12" eb="15">
      <t>サイシュウギョウ</t>
    </rPh>
    <phoneticPr fontId="7"/>
  </si>
  <si>
    <t>b1.2</t>
  </si>
  <si>
    <t>2025/01/21-16:49</t>
    <phoneticPr fontId="7"/>
  </si>
  <si>
    <r>
      <t>・public変数を設定
・登録シート→各管理表への転記マクロを作成
 →</t>
    </r>
    <r>
      <rPr>
        <sz val="10"/>
        <color rgb="FFFF0000"/>
        <rFont val="BIZ UDPゴシック"/>
        <family val="3"/>
        <charset val="128"/>
      </rPr>
      <t>オブジェクト変数または With ブロック変数が設定されていません。</t>
    </r>
    <r>
      <rPr>
        <sz val="10"/>
        <color theme="1"/>
        <rFont val="BIZ UDPゴシック"/>
        <family val="3"/>
        <charset val="128"/>
      </rPr>
      <t xml:space="preserve">
 →バグが多かったので廃棄</t>
    </r>
    <rPh sb="7" eb="9">
      <t>ヘンスウ</t>
    </rPh>
    <rPh sb="10" eb="12">
      <t>セッテイ</t>
    </rPh>
    <rPh sb="14" eb="16">
      <t>トウロク</t>
    </rPh>
    <rPh sb="20" eb="21">
      <t>カク</t>
    </rPh>
    <rPh sb="21" eb="24">
      <t>カンリヒョウ</t>
    </rPh>
    <rPh sb="26" eb="28">
      <t>テンキ</t>
    </rPh>
    <rPh sb="32" eb="34">
      <t>サクセイ</t>
    </rPh>
    <rPh sb="77" eb="78">
      <t>オオ</t>
    </rPh>
    <rPh sb="83" eb="85">
      <t>ハイキ</t>
    </rPh>
    <phoneticPr fontId="7"/>
  </si>
  <si>
    <r>
      <t xml:space="preserve">public変数を廃棄
</t>
    </r>
    <r>
      <rPr>
        <sz val="10"/>
        <color rgb="FFFF0000"/>
        <rFont val="BIZ UDPゴシック"/>
        <family val="3"/>
        <charset val="128"/>
      </rPr>
      <t>→</t>
    </r>
    <r>
      <rPr>
        <strike/>
        <sz val="10"/>
        <color rgb="FFFF0000"/>
        <rFont val="BIZ UDPゴシック"/>
        <family val="3"/>
        <charset val="128"/>
      </rPr>
      <t>Excelシートをひらいたら、ワークブックが閉じる</t>
    </r>
    <r>
      <rPr>
        <sz val="10"/>
        <color theme="1"/>
        <rFont val="BIZ UDPゴシック"/>
        <family val="3"/>
        <charset val="128"/>
      </rPr>
      <t xml:space="preserve">
</t>
    </r>
    <r>
      <rPr>
        <sz val="10"/>
        <color rgb="FFFF0000"/>
        <rFont val="BIZ UDPゴシック"/>
        <family val="3"/>
        <charset val="128"/>
      </rPr>
      <t>→もし対象ファイルがひらいてたらバグる
※細かいバグフィックス</t>
    </r>
    <r>
      <rPr>
        <sz val="10"/>
        <color theme="1"/>
        <rFont val="BIZ UDPゴシック"/>
        <family val="3"/>
        <charset val="128"/>
      </rPr>
      <t xml:space="preserve">
</t>
    </r>
    <r>
      <rPr>
        <sz val="10"/>
        <color rgb="FFFF0000"/>
        <rFont val="BIZ UDPゴシック"/>
        <family val="3"/>
        <charset val="128"/>
      </rPr>
      <t>※ファイル転記がうまくいかない</t>
    </r>
    <rPh sb="6" eb="8">
      <t>ヘンスウ</t>
    </rPh>
    <rPh sb="9" eb="11">
      <t>ハイキ</t>
    </rPh>
    <rPh sb="35" eb="36">
      <t>ト</t>
    </rPh>
    <rPh sb="42" eb="44">
      <t>タイショウ</t>
    </rPh>
    <rPh sb="61" eb="62">
      <t>コマ</t>
    </rPh>
    <rPh sb="77" eb="79">
      <t>テンキ</t>
    </rPh>
    <phoneticPr fontId="7"/>
  </si>
  <si>
    <t>b1.2.01</t>
    <phoneticPr fontId="7"/>
  </si>
  <si>
    <t>b1.2.02</t>
  </si>
  <si>
    <t>2025/01/22-09:56</t>
    <phoneticPr fontId="7"/>
  </si>
  <si>
    <t>2025/01/22-09:58</t>
    <phoneticPr fontId="7"/>
  </si>
  <si>
    <r>
      <t xml:space="preserve">FileSystemObjectを使用してファイルを操作しているver
</t>
    </r>
    <r>
      <rPr>
        <sz val="10"/>
        <color rgb="FFFF0000"/>
        <rFont val="BIZ UDPゴシック"/>
        <family val="3"/>
        <charset val="128"/>
      </rPr>
      <t>※やっぱりファイル転記がうまくいかない</t>
    </r>
    <r>
      <rPr>
        <sz val="10"/>
        <color theme="1"/>
        <rFont val="BIZ UDPゴシック"/>
        <family val="3"/>
        <charset val="128"/>
      </rPr>
      <t xml:space="preserve">
</t>
    </r>
    <r>
      <rPr>
        <sz val="10"/>
        <color rgb="FFFF0000"/>
        <rFont val="BIZ UDPゴシック"/>
        <family val="3"/>
        <charset val="128"/>
      </rPr>
      <t>※変数がぐちゃぐちゃなので廃棄</t>
    </r>
    <r>
      <rPr>
        <sz val="10"/>
        <color theme="0" tint="-4.9989318521683403E-2"/>
        <rFont val="BIZ UDPゴシック"/>
        <family val="3"/>
        <charset val="128"/>
      </rPr>
      <t>（再設定めんどい・・・）</t>
    </r>
    <rPh sb="17" eb="19">
      <t>シヨウ</t>
    </rPh>
    <rPh sb="26" eb="28">
      <t>ソウサ</t>
    </rPh>
    <rPh sb="57" eb="59">
      <t>ヘンスウ</t>
    </rPh>
    <rPh sb="69" eb="71">
      <t>ハイキ</t>
    </rPh>
    <rPh sb="72" eb="75">
      <t>サイセッテイ</t>
    </rPh>
    <phoneticPr fontId="7"/>
  </si>
  <si>
    <t>2025/01/22-10:05</t>
    <phoneticPr fontId="7"/>
  </si>
  <si>
    <r>
      <t xml:space="preserve">シンプルver
</t>
    </r>
    <r>
      <rPr>
        <sz val="10"/>
        <color rgb="FFFF0000"/>
        <rFont val="BIZ UDPゴシック"/>
        <family val="3"/>
        <charset val="128"/>
      </rPr>
      <t>※変数を再設定
※FSO使用せずにいけるんじゃねver</t>
    </r>
    <r>
      <rPr>
        <sz val="10"/>
        <color theme="1"/>
        <rFont val="BIZ UDPゴシック"/>
        <family val="3"/>
        <charset val="128"/>
      </rPr>
      <t xml:space="preserve">
→未処理の場合の処理＝OK　：Private Sub　Unprocessed</t>
    </r>
    <rPh sb="9" eb="11">
      <t>ヘンスウ</t>
    </rPh>
    <rPh sb="12" eb="15">
      <t>サイセッテイ</t>
    </rPh>
    <rPh sb="20" eb="22">
      <t>シヨウ</t>
    </rPh>
    <rPh sb="38" eb="41">
      <t>ミショリ</t>
    </rPh>
    <rPh sb="42" eb="44">
      <t>バアイ</t>
    </rPh>
    <rPh sb="45" eb="47">
      <t>ショリ</t>
    </rPh>
    <phoneticPr fontId="7"/>
  </si>
  <si>
    <t>b1.2.03</t>
  </si>
  <si>
    <t>2025/01/24-10:06</t>
    <phoneticPr fontId="7"/>
  </si>
  <si>
    <t>→オンサイトの場合の処理を追加</t>
    <rPh sb="7" eb="9">
      <t>バアイ</t>
    </rPh>
    <rPh sb="10" eb="12">
      <t>ショリ</t>
    </rPh>
    <rPh sb="13" eb="15">
      <t>ツイカ</t>
    </rPh>
    <phoneticPr fontId="7"/>
  </si>
  <si>
    <t>WJ-NU301/12</t>
  </si>
  <si>
    <t>WV-S2136LUX</t>
  </si>
  <si>
    <t>b1.2.04</t>
  </si>
  <si>
    <t>→センドバックの場合の処理を追加</t>
    <rPh sb="8" eb="10">
      <t>バアイ</t>
    </rPh>
    <rPh sb="11" eb="13">
      <t>ショリ</t>
    </rPh>
    <rPh sb="14" eb="16">
      <t>ツイカ</t>
    </rPh>
    <phoneticPr fontId="7"/>
  </si>
  <si>
    <t>2025/01/24-15:44</t>
    <phoneticPr fontId="7"/>
  </si>
  <si>
    <t>b1.3</t>
    <phoneticPr fontId="7"/>
  </si>
  <si>
    <t>価格表sheetを作成（powerquery)</t>
    <rPh sb="0" eb="3">
      <t>カカクヒョウ</t>
    </rPh>
    <rPh sb="9" eb="11">
      <t>サクセイ</t>
    </rPh>
    <phoneticPr fontId="7"/>
  </si>
  <si>
    <t>2025/01/24-15:45</t>
  </si>
  <si>
    <t>iProケアパック登録シート　→管理表</t>
    <rPh sb="9" eb="11">
      <t>トウロク</t>
    </rPh>
    <rPh sb="16" eb="19">
      <t>カンリヒョウ</t>
    </rPh>
    <phoneticPr fontId="7"/>
  </si>
  <si>
    <t>品番</t>
  </si>
  <si>
    <t>本体価格</t>
  </si>
  <si>
    <t>.</t>
  </si>
  <si>
    <t>WV-S1536LNS</t>
  </si>
  <si>
    <t>J-WVS1536LNS-CP3A</t>
  </si>
  <si>
    <t>42,120</t>
  </si>
  <si>
    <t>458,500</t>
  </si>
  <si>
    <t>卸 価 格</t>
  </si>
  <si>
    <t>31,680</t>
  </si>
  <si>
    <t>302,310</t>
  </si>
  <si>
    <t>セ 価 格</t>
  </si>
  <si>
    <t>27,720</t>
  </si>
  <si>
    <t>WV-S15500-V3LN</t>
  </si>
  <si>
    <t>J-WVS15500V3LN-CP3A</t>
  </si>
  <si>
    <t>19,800</t>
  </si>
  <si>
    <t>216,300</t>
  </si>
  <si>
    <t>15,120</t>
  </si>
  <si>
    <t>142,640</t>
  </si>
  <si>
    <t>12,960</t>
  </si>
  <si>
    <t>WV-S15700-V2LK</t>
  </si>
  <si>
    <t>J-WVS15700V2LK-CP3A</t>
  </si>
  <si>
    <t>550,900</t>
  </si>
  <si>
    <t>38,160</t>
  </si>
  <si>
    <t>362,920</t>
  </si>
  <si>
    <t>33,120</t>
  </si>
  <si>
    <t>WV-S15700-V2LN</t>
  </si>
  <si>
    <t>357,000</t>
  </si>
  <si>
    <t>J-WVS15700V2LN-CP3A</t>
  </si>
  <si>
    <t>23,040</t>
  </si>
  <si>
    <t>249,900</t>
  </si>
  <si>
    <t>17,280</t>
  </si>
  <si>
    <t>164,670</t>
  </si>
  <si>
    <t>WV-S22500-V3L</t>
  </si>
  <si>
    <t>J-WVS22500V3L-CP3A</t>
  </si>
  <si>
    <t>217,000</t>
  </si>
  <si>
    <t>142,980</t>
  </si>
  <si>
    <t>WV-S25500-V3LN</t>
  </si>
  <si>
    <t>J-WVS25500V3LN-CP3A</t>
  </si>
  <si>
    <t>23,760</t>
  </si>
  <si>
    <t>260,400</t>
  </si>
  <si>
    <t>18,000</t>
  </si>
  <si>
    <t>171,360</t>
  </si>
  <si>
    <t>15,480</t>
  </si>
  <si>
    <t>WV-S25700-V2LN</t>
  </si>
  <si>
    <t>J-WVS25700V2LN-CP3A</t>
  </si>
  <si>
    <t>301,000</t>
  </si>
  <si>
    <t>20,880</t>
  </si>
  <si>
    <t>197,780</t>
  </si>
  <si>
    <t>WV-S61300-ZY</t>
  </si>
  <si>
    <t>204,000</t>
  </si>
  <si>
    <t>J-WVS61300ZY-CP3A</t>
  </si>
  <si>
    <t>142,800</t>
  </si>
  <si>
    <t>9,720</t>
  </si>
  <si>
    <t>94,050</t>
  </si>
  <si>
    <t>8,640</t>
  </si>
  <si>
    <t>WV-S61301-Z1</t>
  </si>
  <si>
    <t>J-WVS61301Z1-CP3A</t>
  </si>
  <si>
    <t>164,500</t>
  </si>
  <si>
    <t>11,520</t>
  </si>
  <si>
    <t>108,300</t>
  </si>
  <si>
    <t>WV-S61301-Z2</t>
  </si>
  <si>
    <t>J-WVS61301Z2-CP3A</t>
  </si>
  <si>
    <t>15,840</t>
  </si>
  <si>
    <t>172,900</t>
  </si>
  <si>
    <t>11,880</t>
  </si>
  <si>
    <t>114,000</t>
  </si>
  <si>
    <t>10,440</t>
  </si>
  <si>
    <t>WV-S61302-Z4</t>
  </si>
  <si>
    <t>J-WVS61302Z4-CP3A</t>
  </si>
  <si>
    <t>38,880</t>
  </si>
  <si>
    <t>424,200</t>
  </si>
  <si>
    <t>29,160</t>
  </si>
  <si>
    <t>279,320</t>
  </si>
  <si>
    <t>25,560</t>
  </si>
  <si>
    <t>WV-S65300-ZY</t>
  </si>
  <si>
    <t>J-WVS65300ZYCP3A</t>
  </si>
  <si>
    <t>18,720</t>
  </si>
  <si>
    <t>203,000</t>
  </si>
  <si>
    <t>14,040</t>
  </si>
  <si>
    <t>133,960</t>
  </si>
  <si>
    <t>12,240</t>
  </si>
  <si>
    <t>WV-S65301-Z1</t>
  </si>
  <si>
    <t>J-WV-S65301Z1-CP3A</t>
  </si>
  <si>
    <t>22,320</t>
  </si>
  <si>
    <t>243,600</t>
  </si>
  <si>
    <t>16,920</t>
  </si>
  <si>
    <t>160,560</t>
  </si>
  <si>
    <t>14,760</t>
  </si>
  <si>
    <t>WV-S65302-Z2</t>
  </si>
  <si>
    <t>J-WVS65302Z2-CP3A</t>
  </si>
  <si>
    <t>26,280</t>
  </si>
  <si>
    <t>284,900</t>
  </si>
  <si>
    <t>187,630</t>
  </si>
  <si>
    <t>WV-S65340-Z2K</t>
  </si>
  <si>
    <t>J-S65340Z2K-CP3A</t>
  </si>
  <si>
    <t>603,400</t>
  </si>
  <si>
    <t>41,760</t>
  </si>
  <si>
    <t>397,580</t>
  </si>
  <si>
    <t>36,360</t>
  </si>
  <si>
    <t>WV-S65340-Z2N</t>
  </si>
  <si>
    <t>J-WVS65340Z2N-CP3A</t>
  </si>
  <si>
    <t>26,640</t>
  </si>
  <si>
    <t>291,200</t>
  </si>
  <si>
    <t>20,160</t>
  </si>
  <si>
    <t>191,910</t>
  </si>
  <si>
    <t>17,640</t>
  </si>
  <si>
    <t>WV-S65340-Z4K</t>
  </si>
  <si>
    <t>J-WVS65340Z4K-CP3A</t>
  </si>
  <si>
    <t>854,700</t>
  </si>
  <si>
    <t>59,040</t>
  </si>
  <si>
    <t>562,890</t>
  </si>
  <si>
    <t>51,480</t>
  </si>
  <si>
    <t>WV-S65340-Z4N</t>
  </si>
  <si>
    <t>J-WVS65340Z4N-CP3A</t>
  </si>
  <si>
    <t>499,100</t>
  </si>
  <si>
    <t>34,560</t>
  </si>
  <si>
    <t>328,710</t>
  </si>
  <si>
    <t>29,880</t>
  </si>
  <si>
    <t>WV-S8543LUX</t>
  </si>
  <si>
    <t>J-WVS8543LUX-CP3A</t>
  </si>
  <si>
    <t>318,500</t>
  </si>
  <si>
    <t>21,960</t>
  </si>
  <si>
    <t>209,820</t>
  </si>
  <si>
    <t>19,080</t>
  </si>
  <si>
    <t>WV-S8544LUX</t>
  </si>
  <si>
    <t>J-WVS8544LUX-CP3A</t>
  </si>
  <si>
    <t>34,200</t>
  </si>
  <si>
    <t>373,800</t>
  </si>
  <si>
    <t>25,920</t>
  </si>
  <si>
    <t>246,250</t>
  </si>
  <si>
    <t>WV-S8573LUX</t>
  </si>
  <si>
    <t>J-WVS8573LUX-CP3A</t>
  </si>
  <si>
    <t>39,600</t>
  </si>
  <si>
    <t>431,900</t>
  </si>
  <si>
    <t>284,730</t>
  </si>
  <si>
    <t>WV-S8574LUX</t>
  </si>
  <si>
    <t>J-WVS8574LUX-CP3A</t>
  </si>
  <si>
    <t>45,000</t>
  </si>
  <si>
    <t>489,300</t>
  </si>
  <si>
    <t>33,840</t>
  </si>
  <si>
    <t>322,690</t>
  </si>
  <si>
    <t>29,520</t>
  </si>
  <si>
    <t>WV-B61300-ZY</t>
  </si>
  <si>
    <t>J-WVB61300ZY-CP3A</t>
  </si>
  <si>
    <t>7,920</t>
  </si>
  <si>
    <t>66,950</t>
  </si>
  <si>
    <t>5,760</t>
  </si>
  <si>
    <t>56,390</t>
  </si>
  <si>
    <t>5,040</t>
  </si>
  <si>
    <t>WV-B61301-Z1</t>
  </si>
  <si>
    <t>J-WVB61301Z1-CP3A</t>
  </si>
  <si>
    <t>9,360</t>
  </si>
  <si>
    <t>80,600</t>
  </si>
  <si>
    <t>7,200</t>
  </si>
  <si>
    <t>67,860</t>
  </si>
  <si>
    <t>6,120</t>
  </si>
  <si>
    <t>WV-B61301-Z2</t>
  </si>
  <si>
    <t>J-WVB61301Z2-CP3A</t>
  </si>
  <si>
    <t>10,800</t>
  </si>
  <si>
    <t>90,350</t>
  </si>
  <si>
    <t>76,280</t>
  </si>
  <si>
    <t>6,840</t>
  </si>
  <si>
    <t>WV-B65300-ZY</t>
  </si>
  <si>
    <t>123,000</t>
  </si>
  <si>
    <t>J-WVB65300ZY-CP3A</t>
  </si>
  <si>
    <t>79,950</t>
  </si>
  <si>
    <t>67,690</t>
  </si>
  <si>
    <t>WV-B65301-Z1</t>
  </si>
  <si>
    <t>J-WVB65301Z1-CP3A</t>
  </si>
  <si>
    <t>104,000</t>
  </si>
  <si>
    <t>87,650</t>
  </si>
  <si>
    <t>WV-B65302-Z2</t>
  </si>
  <si>
    <t>J-WVB65302Z2-CP3A</t>
  </si>
  <si>
    <t>127,400</t>
  </si>
  <si>
    <t>11,160</t>
  </si>
  <si>
    <t>107,450</t>
  </si>
  <si>
    <t>WV-S65501-Z1</t>
  </si>
  <si>
    <t>J-WVS65501Z1-CP3A</t>
  </si>
  <si>
    <t>303,100</t>
  </si>
  <si>
    <t>199,510</t>
  </si>
  <si>
    <t>18,360</t>
  </si>
  <si>
    <t>WV-X86531-Z2</t>
  </si>
  <si>
    <t>J-WVX86531Z2-CP3A</t>
  </si>
  <si>
    <t>63,360</t>
  </si>
  <si>
    <t>688,800</t>
  </si>
  <si>
    <t>47,520</t>
  </si>
  <si>
    <t>453,640</t>
  </si>
  <si>
    <t>41,400</t>
  </si>
  <si>
    <t>WV-SUD638UX</t>
  </si>
  <si>
    <t>J-WVSUD638UX-CP3A</t>
  </si>
  <si>
    <t>1,541,400</t>
  </si>
  <si>
    <t>106,560</t>
  </si>
  <si>
    <t>1,015,780</t>
  </si>
  <si>
    <t>92,520</t>
  </si>
  <si>
    <t>WV-S6532LNUX</t>
  </si>
  <si>
    <t>J-WVS6532LNUX-CP3A</t>
  </si>
  <si>
    <t>369,600</t>
  </si>
  <si>
    <t>243,690</t>
  </si>
  <si>
    <t>WV-X6533LNUX</t>
  </si>
  <si>
    <t>J-WVX6533LNUX-CP3A</t>
  </si>
  <si>
    <t>56,880</t>
  </si>
  <si>
    <t>617,400</t>
  </si>
  <si>
    <t>42,840</t>
  </si>
  <si>
    <t>406,760</t>
  </si>
  <si>
    <t>37,080</t>
  </si>
  <si>
    <t>WV-S6532LNSUX</t>
  </si>
  <si>
    <t>J-WVS6532LNSUX-CP3A</t>
  </si>
  <si>
    <t>62,280</t>
  </si>
  <si>
    <t>678,300</t>
  </si>
  <si>
    <t>46,800</t>
  </si>
  <si>
    <t>446,840</t>
  </si>
  <si>
    <t>40,680</t>
  </si>
  <si>
    <t>WV-X6533LNSUX</t>
  </si>
  <si>
    <t>J-WVX6533LNSUX-CP3A</t>
  </si>
  <si>
    <t>926,800</t>
  </si>
  <si>
    <t>64,080</t>
  </si>
  <si>
    <t>610,490</t>
  </si>
  <si>
    <t>55,800</t>
  </si>
  <si>
    <t>WV-S66300-Z4L</t>
  </si>
  <si>
    <t>J-WVS66300Z4L-CP3A</t>
  </si>
  <si>
    <t>52,200</t>
  </si>
  <si>
    <t>568,400</t>
  </si>
  <si>
    <t>39,240</t>
  </si>
  <si>
    <t>374,470</t>
  </si>
  <si>
    <t>WV-S85402-V2L</t>
  </si>
  <si>
    <t>J-WVS85402-V2L-CP3A</t>
  </si>
  <si>
    <t>25,200</t>
  </si>
  <si>
    <t>272,300</t>
  </si>
  <si>
    <t>179,560</t>
  </si>
  <si>
    <t>16,200</t>
  </si>
  <si>
    <t>WV-S85702-F3L</t>
  </si>
  <si>
    <t>J-WVS85702-F3L-CP3A</t>
  </si>
  <si>
    <t>326,200</t>
  </si>
  <si>
    <t>22,680</t>
  </si>
  <si>
    <t>214,710</t>
  </si>
  <si>
    <t>19,440</t>
  </si>
  <si>
    <t>WV-U85402-V2L</t>
  </si>
  <si>
    <t>J-WVU85402-V2L-CP3A</t>
  </si>
  <si>
    <t>198,100</t>
  </si>
  <si>
    <t>13,680</t>
  </si>
  <si>
    <t>130,630</t>
  </si>
  <si>
    <t>WV-S66700-Z3L</t>
  </si>
  <si>
    <t>J-WVS66700Z3L-CP3A</t>
  </si>
  <si>
    <t>641,000</t>
  </si>
  <si>
    <t>44,280</t>
  </si>
  <si>
    <t>422,000</t>
  </si>
  <si>
    <t>38,520</t>
  </si>
  <si>
    <t>WV-X15700-V2LN</t>
  </si>
  <si>
    <t>J-WVX15700V2LN-CP3A</t>
  </si>
  <si>
    <t>35,640</t>
  </si>
  <si>
    <t>387,100</t>
  </si>
  <si>
    <t>255,030</t>
  </si>
  <si>
    <t>23,400</t>
  </si>
  <si>
    <t>WV-X15300-V3LN</t>
  </si>
  <si>
    <t>J-WVX15300V3LN-CP3A</t>
  </si>
  <si>
    <t>164,640</t>
  </si>
  <si>
    <t>WV-X22700-V2L</t>
  </si>
  <si>
    <t>J-WVX22700V2L-CP3A</t>
  </si>
  <si>
    <t>WV-X22300-V3L</t>
  </si>
  <si>
    <t>J-WVX22300V3L-CP3A</t>
  </si>
  <si>
    <t>254,100</t>
  </si>
  <si>
    <t>167,400</t>
  </si>
  <si>
    <t>WV-X25700-V2LN</t>
  </si>
  <si>
    <t>J-WVX25700V2LN-CP3A</t>
  </si>
  <si>
    <t>40,320</t>
  </si>
  <si>
    <t>438,200</t>
  </si>
  <si>
    <t>30,240</t>
  </si>
  <si>
    <t>288,690</t>
  </si>
  <si>
    <t>WV-X25300-V3LN</t>
  </si>
  <si>
    <t>J-WVX25300V3LN-CP3A</t>
  </si>
  <si>
    <t>337,400</t>
  </si>
  <si>
    <t>222,280</t>
  </si>
  <si>
    <t>J-WVS1536LNS-CP4A</t>
  </si>
  <si>
    <t>144,960</t>
  </si>
  <si>
    <t>97,920</t>
  </si>
  <si>
    <t>J-WVS15500V3LN-CP4A</t>
  </si>
  <si>
    <t>96,960</t>
  </si>
  <si>
    <t>68,160</t>
  </si>
  <si>
    <t>46,080</t>
  </si>
  <si>
    <t>J-WVS15700V2LK-CP４A</t>
  </si>
  <si>
    <t>173,760</t>
  </si>
  <si>
    <t>117,600</t>
  </si>
  <si>
    <t>J-WVS15700V2LN-CP4A</t>
  </si>
  <si>
    <t>78,720</t>
  </si>
  <si>
    <t>53,280</t>
  </si>
  <si>
    <t>J-WVS22500V3L-CP４A</t>
  </si>
  <si>
    <t>68,640</t>
  </si>
  <si>
    <t>46,560</t>
  </si>
  <si>
    <t>J-WVS25500V3LN-CP４A</t>
  </si>
  <si>
    <t>116,640</t>
  </si>
  <si>
    <t>82,080</t>
  </si>
  <si>
    <t>55,680</t>
  </si>
  <si>
    <t>J-WVS25700V2LN-CP４A</t>
  </si>
  <si>
    <t>94,560</t>
  </si>
  <si>
    <t>64,320</t>
  </si>
  <si>
    <t>J-WVS61300ZY-CP４A</t>
  </si>
  <si>
    <t>45,120</t>
  </si>
  <si>
    <t>J-WVS61301Z1-CP４A</t>
  </si>
  <si>
    <t>51,840</t>
  </si>
  <si>
    <t>35,040</t>
  </si>
  <si>
    <t>J-WVS61301Z2-CP４A</t>
  </si>
  <si>
    <t>77,760</t>
  </si>
  <si>
    <t>54,720</t>
  </si>
  <si>
    <t>36,960</t>
  </si>
  <si>
    <t>J-WVS61302Z4-CP４A</t>
  </si>
  <si>
    <t>133,920</t>
  </si>
  <si>
    <t>90,720</t>
  </si>
  <si>
    <t>J-WVS65300ZYCP４A</t>
  </si>
  <si>
    <t>91,200</t>
  </si>
  <si>
    <t>43,200</t>
  </si>
  <si>
    <t>J-WV-S65301Z1-CP４A</t>
  </si>
  <si>
    <t>109,440</t>
  </si>
  <si>
    <t>76,800</t>
  </si>
  <si>
    <t>J-WVS65302Z2-CP４A</t>
  </si>
  <si>
    <t>89,760</t>
  </si>
  <si>
    <t>60,960</t>
  </si>
  <si>
    <t>J-S65340Z2K-CP４A</t>
  </si>
  <si>
    <t>190,560</t>
  </si>
  <si>
    <t>128,640</t>
  </si>
  <si>
    <t>J-WVS65340Z2N-CP４A</t>
  </si>
  <si>
    <t>91,680</t>
  </si>
  <si>
    <t>62,400</t>
  </si>
  <si>
    <t>J-WVS65340Z4K-CP４A</t>
  </si>
  <si>
    <t>269,760</t>
  </si>
  <si>
    <t>182,400</t>
  </si>
  <si>
    <t>J-WVS65340Z4N-CP４A</t>
  </si>
  <si>
    <t>157,440</t>
  </si>
  <si>
    <t>J-WVS8543LUX-CP４A</t>
  </si>
  <si>
    <t>100,320</t>
  </si>
  <si>
    <t>J-WVS8544LUX-CP４A</t>
  </si>
  <si>
    <t>118,080</t>
  </si>
  <si>
    <t>79,680</t>
  </si>
  <si>
    <t>J-WVS8573LUX-CP４A</t>
  </si>
  <si>
    <t>136,320</t>
  </si>
  <si>
    <t>92,160</t>
  </si>
  <si>
    <t>J-WVS8574LUX-CP4A</t>
  </si>
  <si>
    <t>154,560</t>
  </si>
  <si>
    <t>104,640</t>
  </si>
  <si>
    <t>J-WVB61300ZY-CP4A</t>
  </si>
  <si>
    <t>24,960</t>
  </si>
  <si>
    <t>18,240</t>
  </si>
  <si>
    <t>J-WVB61301Z1-CP4A</t>
  </si>
  <si>
    <t>22,080</t>
  </si>
  <si>
    <t>J-WVB61301Z2-CP4A</t>
  </si>
  <si>
    <t>49,440</t>
  </si>
  <si>
    <t>34,080</t>
  </si>
  <si>
    <t>24,480</t>
  </si>
  <si>
    <t>J-WVB65300ZY-CP4A</t>
  </si>
  <si>
    <t>43,680</t>
  </si>
  <si>
    <t>J-WVB65301Z1-CP4A</t>
  </si>
  <si>
    <t>39,360</t>
  </si>
  <si>
    <t>28,320</t>
  </si>
  <si>
    <t>J-WVB65302Z2-CP4A</t>
  </si>
  <si>
    <t>69,600</t>
  </si>
  <si>
    <t>48,000</t>
  </si>
  <si>
    <t>J-WVS65501Z1-CP4A</t>
  </si>
  <si>
    <t>95,520</t>
  </si>
  <si>
    <t>64,800</t>
  </si>
  <si>
    <t>J-WVX86531Z2-CP4A</t>
  </si>
  <si>
    <t>217,440</t>
  </si>
  <si>
    <t>146,880</t>
  </si>
  <si>
    <t>J-WVSUD638UX-CP4A</t>
  </si>
  <si>
    <t>486,240</t>
  </si>
  <si>
    <t>329,280</t>
  </si>
  <si>
    <t>J-WVS6532LNUX-CP4A</t>
  </si>
  <si>
    <t>J-WVX6533LNUX-CP4A</t>
  </si>
  <si>
    <t>194,880</t>
  </si>
  <si>
    <t>132,000</t>
  </si>
  <si>
    <t>J-WVS6532LNSUX-CP4A</t>
  </si>
  <si>
    <t>214,080</t>
  </si>
  <si>
    <t>J-WVX6533LNSUX-CP4A</t>
  </si>
  <si>
    <t>292,320</t>
  </si>
  <si>
    <t>197,760</t>
  </si>
  <si>
    <t>J-WVS66300Z4L-CP4A</t>
  </si>
  <si>
    <t>180,960</t>
  </si>
  <si>
    <t>121,440</t>
  </si>
  <si>
    <t>J-WVS85402-V2L-CP4A</t>
  </si>
  <si>
    <t>123,360</t>
  </si>
  <si>
    <t>86,880</t>
  </si>
  <si>
    <t>58,080</t>
  </si>
  <si>
    <t>J-WVS85702-F3L-CP4A</t>
  </si>
  <si>
    <t>103,680</t>
  </si>
  <si>
    <t>J-WVU85402-V2L-CP4A</t>
  </si>
  <si>
    <t>62,880</t>
  </si>
  <si>
    <t>42,240</t>
  </si>
  <si>
    <t>J-WVS66700Z3L-CP4A</t>
  </si>
  <si>
    <t>136,800</t>
  </si>
  <si>
    <t>J-WVX15700V2LN-CP4A</t>
  </si>
  <si>
    <t>175,200</t>
  </si>
  <si>
    <t>82,560</t>
  </si>
  <si>
    <t>J-WVX15300V3LN-CP4A</t>
  </si>
  <si>
    <t>J-WVX22700V2L-CP4A</t>
  </si>
  <si>
    <t>J-WVX22300V3L-CP4A</t>
  </si>
  <si>
    <t>115,200</t>
  </si>
  <si>
    <t>81,120</t>
  </si>
  <si>
    <t>54,240</t>
  </si>
  <si>
    <t>J-WVX25700V2LN-CP4A</t>
  </si>
  <si>
    <t>139,680</t>
  </si>
  <si>
    <t>93,600</t>
  </si>
  <si>
    <t>J-WVX25300V3LN-CP4A</t>
  </si>
  <si>
    <t>107,520</t>
  </si>
  <si>
    <t>72,000</t>
  </si>
  <si>
    <t>J-WVS1536LNS-CP5A</t>
  </si>
  <si>
    <t>178,800</t>
  </si>
  <si>
    <t>145,200</t>
  </si>
  <si>
    <t>J-WVS15500V3LN-CP5A</t>
  </si>
  <si>
    <t>120,000</t>
  </si>
  <si>
    <t>84,600</t>
  </si>
  <si>
    <t>57,000</t>
  </si>
  <si>
    <t>J-WVS15700V2LK-CP5A</t>
  </si>
  <si>
    <t>214,800</t>
  </si>
  <si>
    <t>J-WVS15700V2LN-CP5A</t>
  </si>
  <si>
    <t>138,600</t>
  </si>
  <si>
    <t>97,200</t>
  </si>
  <si>
    <t>66,000</t>
  </si>
  <si>
    <t>J-WVS22500V3L-CP5A</t>
  </si>
  <si>
    <t>J-WVS25500V3LN-CP5A</t>
  </si>
  <si>
    <t>144,000</t>
  </si>
  <si>
    <t>101,400</t>
  </si>
  <si>
    <t>68,400</t>
  </si>
  <si>
    <t>J-WVS25700V2LN-CP5A</t>
  </si>
  <si>
    <t>166,200</t>
  </si>
  <si>
    <t>117,000</t>
  </si>
  <si>
    <t>79,200</t>
  </si>
  <si>
    <t>J-WVS61300ZY-CP5A</t>
  </si>
  <si>
    <t>37,800</t>
  </si>
  <si>
    <t>J-WVS61301Z1-CP5A</t>
  </si>
  <si>
    <t>64,200</t>
  </si>
  <si>
    <t>J-WVS61301Z2-CP5A</t>
  </si>
  <si>
    <t>67,200</t>
  </si>
  <si>
    <t>45,600</t>
  </si>
  <si>
    <t>J-WVS61302Z4-CP5A</t>
  </si>
  <si>
    <t>165,000</t>
  </si>
  <si>
    <t>111,600</t>
  </si>
  <si>
    <t>J-WVS65300ZYCP5A</t>
  </si>
  <si>
    <t>53,400</t>
  </si>
  <si>
    <t>J-WV-S65301Z1-CP5A</t>
  </si>
  <si>
    <t>135,000</t>
  </si>
  <si>
    <t>94,800</t>
  </si>
  <si>
    <t>J-WVS65302Z2-CP5A</t>
  </si>
  <si>
    <t>111,000</t>
  </si>
  <si>
    <t>75,000</t>
  </si>
  <si>
    <t>J-S65340Z2K-CP5A</t>
  </si>
  <si>
    <t>235,200</t>
  </si>
  <si>
    <t>159,000</t>
  </si>
  <si>
    <t>J-WVS65340Z2N-CP5A</t>
  </si>
  <si>
    <t>113,400</t>
  </si>
  <si>
    <t>J-WVS65340Z4K-CP5A</t>
  </si>
  <si>
    <t>333,000</t>
  </si>
  <si>
    <t>225,000</t>
  </si>
  <si>
    <t>J-WVS65340Z4N-CP5A</t>
  </si>
  <si>
    <t>194,400</t>
  </si>
  <si>
    <t>131,400</t>
  </si>
  <si>
    <t>J-WVS8543LUX-CP5A</t>
  </si>
  <si>
    <t>124,200</t>
  </si>
  <si>
    <t>84,000</t>
  </si>
  <si>
    <t>J-WVS8544LUX-CP5A</t>
  </si>
  <si>
    <t>145,800</t>
  </si>
  <si>
    <t>98,400</t>
  </si>
  <si>
    <t>J-WVS8573LUX-CP5A</t>
  </si>
  <si>
    <t>168,600</t>
  </si>
  <si>
    <t>J-WVS8574LUX-CP5A</t>
  </si>
  <si>
    <t>271,200</t>
  </si>
  <si>
    <t>190,800</t>
  </si>
  <si>
    <t>129,000</t>
  </si>
  <si>
    <t>J-WVB61300ZY-CP5A</t>
  </si>
  <si>
    <t>31,800</t>
  </si>
  <si>
    <t>22,800</t>
  </si>
  <si>
    <t>J-WVB61301Z1-CP5A</t>
  </si>
  <si>
    <t>54,600</t>
  </si>
  <si>
    <t>27,000</t>
  </si>
  <si>
    <t>J-WVB61301Z2-CP5A</t>
  </si>
  <si>
    <t>61,800</t>
  </si>
  <si>
    <t>42,600</t>
  </si>
  <si>
    <t>30,600</t>
  </si>
  <si>
    <t>J-WVB65300ZY-CP5A</t>
  </si>
  <si>
    <t>J-WVB65301Z1-CP5A</t>
  </si>
  <si>
    <t>49,200</t>
  </si>
  <si>
    <t>34,800</t>
  </si>
  <si>
    <t>J-WVB65302Z2-CP5A</t>
  </si>
  <si>
    <t>86,400</t>
  </si>
  <si>
    <t>60,000</t>
  </si>
  <si>
    <t>J-WVS65501Z1-CP5A</t>
  </si>
  <si>
    <t>118,200</t>
  </si>
  <si>
    <t>79,800</t>
  </si>
  <si>
    <t>J-WVX86531Z2-CP5A</t>
  </si>
  <si>
    <t>268,200</t>
  </si>
  <si>
    <t>181,200</t>
  </si>
  <si>
    <t>J-WVSUD638UX-CP5A</t>
  </si>
  <si>
    <t>600,600</t>
  </si>
  <si>
    <t>406,200</t>
  </si>
  <si>
    <t>J-WVS6532LNUX-CP5A</t>
  </si>
  <si>
    <t>J-WVX6533LNUX-CP5A</t>
  </si>
  <si>
    <t>240,600</t>
  </si>
  <si>
    <t>162,600</t>
  </si>
  <si>
    <t>J-WVS6532LNSUX-CP5A</t>
  </si>
  <si>
    <t>264,000</t>
  </si>
  <si>
    <t>J-WVX6533LNSUX-CP5A</t>
  </si>
  <si>
    <t>361,200</t>
  </si>
  <si>
    <t>244,200</t>
  </si>
  <si>
    <t>J-WVS66300Z4L-CP5A</t>
  </si>
  <si>
    <t>223,200</t>
  </si>
  <si>
    <t>150,000</t>
  </si>
  <si>
    <t>J-WVS85402-V2L-CP5A</t>
  </si>
  <si>
    <t>151,800</t>
  </si>
  <si>
    <t>106,800</t>
  </si>
  <si>
    <t>J-WVS85702-F3L-CP5A</t>
  </si>
  <si>
    <t>127,800</t>
  </si>
  <si>
    <t>85,800</t>
  </si>
  <si>
    <t>J-WVU85402-V2L-CP5A</t>
  </si>
  <si>
    <t>110,400</t>
  </si>
  <si>
    <t>78,000</t>
  </si>
  <si>
    <t>J-WVS66700Z3L-CP5A</t>
  </si>
  <si>
    <t>251,400</t>
  </si>
  <si>
    <t>J-WVX15700V2LN-CP5A</t>
  </si>
  <si>
    <t>102,000</t>
  </si>
  <si>
    <t>J-WVX15300V3LN-CP5A</t>
  </si>
  <si>
    <t>97,800</t>
  </si>
  <si>
    <t>J-WVX22700V2L-CP5A</t>
  </si>
  <si>
    <t>J-WVX22300V3L-CP5A</t>
  </si>
  <si>
    <t>141,600</t>
  </si>
  <si>
    <t>99,600</t>
  </si>
  <si>
    <t>J-WVX25700V2LN-CP5A</t>
  </si>
  <si>
    <t>172,200</t>
  </si>
  <si>
    <t>J-WVX25300V3LN-CP5A</t>
  </si>
  <si>
    <t>132,600</t>
  </si>
  <si>
    <t>88,800</t>
  </si>
  <si>
    <t>WV-S66700-Z3LN</t>
  </si>
  <si>
    <t>J-WVS66700Z3LN-CP3A</t>
  </si>
  <si>
    <t>61,200</t>
  </si>
  <si>
    <t>665,000</t>
  </si>
  <si>
    <t>438,110</t>
  </si>
  <si>
    <t>39,960</t>
  </si>
  <si>
    <t>WV-X66700-Z3LK</t>
  </si>
  <si>
    <t>J-WVX66700Z3LK-CP3A</t>
  </si>
  <si>
    <t>1,024,100</t>
  </si>
  <si>
    <t>70,920</t>
  </si>
  <si>
    <t>674,690</t>
  </si>
  <si>
    <t>61,560</t>
  </si>
  <si>
    <t>WV-S66300-Z4LN</t>
  </si>
  <si>
    <t>J-WVS66300Z4LN-CP3A</t>
  </si>
  <si>
    <t>594,300</t>
  </si>
  <si>
    <t>41,040</t>
  </si>
  <si>
    <t>391,530</t>
  </si>
  <si>
    <t>WV-X66300-Z4LK</t>
  </si>
  <si>
    <t>J-WVX66300Z4LK-CP3A</t>
  </si>
  <si>
    <t>82,440</t>
  </si>
  <si>
    <t>896,000</t>
  </si>
  <si>
    <t>61,920</t>
  </si>
  <si>
    <t>590,300</t>
  </si>
  <si>
    <t>54,000</t>
  </si>
  <si>
    <t>J-WVS66700Z3LN-CP4A</t>
  </si>
  <si>
    <t>211,680</t>
  </si>
  <si>
    <t>142,080</t>
  </si>
  <si>
    <t>J-WVX66700Z3LK-CP4A</t>
  </si>
  <si>
    <t>325,920</t>
  </si>
  <si>
    <t>218,400</t>
  </si>
  <si>
    <t>J-WVS66300Z4LN-CP4A</t>
  </si>
  <si>
    <t>268,800</t>
  </si>
  <si>
    <t>189,120</t>
  </si>
  <si>
    <t>126,720</t>
  </si>
  <si>
    <t>J-WVX66300Z4LK-CP4A</t>
  </si>
  <si>
    <t>285,120</t>
  </si>
  <si>
    <t>191,040</t>
  </si>
  <si>
    <t>J-WVS66700Z3LN-CP5A</t>
  </si>
  <si>
    <t>261,000</t>
  </si>
  <si>
    <t>J-WVX66700Z3LK-CP5A</t>
  </si>
  <si>
    <t>402,000</t>
  </si>
  <si>
    <t>270,000</t>
  </si>
  <si>
    <t>J-WVS66300Z4LN-CP5A</t>
  </si>
  <si>
    <t>233,400</t>
  </si>
  <si>
    <t>156,600</t>
  </si>
  <si>
    <t>J-WVX66300Z4LK-CP5A</t>
  </si>
  <si>
    <t>351,600</t>
  </si>
  <si>
    <t>236,400</t>
  </si>
  <si>
    <t>WJ-NU300/2</t>
  </si>
  <si>
    <t>J-WJNU300/2-CP3A</t>
  </si>
  <si>
    <t>651,000</t>
  </si>
  <si>
    <t>91,440</t>
  </si>
  <si>
    <t>428,940</t>
  </si>
  <si>
    <t>WJ-NU300/4</t>
  </si>
  <si>
    <t>J-WJNU300/4-CP3A</t>
  </si>
  <si>
    <t>728,000</t>
  </si>
  <si>
    <t>102,240</t>
  </si>
  <si>
    <t>479,770</t>
  </si>
  <si>
    <t>69,120</t>
  </si>
  <si>
    <t>WJ-NU300/8</t>
  </si>
  <si>
    <t>J-WJNU300/8-CP3A</t>
  </si>
  <si>
    <t>886,200</t>
  </si>
  <si>
    <t>124,560</t>
  </si>
  <si>
    <t>583,800</t>
  </si>
  <si>
    <t>84,240</t>
  </si>
  <si>
    <t>WJ-NU301/2</t>
  </si>
  <si>
    <t>J-WJNU301/2-CP3A</t>
  </si>
  <si>
    <t>708,400</t>
  </si>
  <si>
    <t>99,360</t>
  </si>
  <si>
    <t>466,940</t>
  </si>
  <si>
    <t>67,320</t>
  </si>
  <si>
    <t>WJ-NU301/4</t>
  </si>
  <si>
    <t>J-WJNU301/4-CP3A</t>
  </si>
  <si>
    <t>786,100</t>
  </si>
  <si>
    <t>110,520</t>
  </si>
  <si>
    <t>517,770</t>
  </si>
  <si>
    <t>74,520</t>
  </si>
  <si>
    <t>WJ-NU301/8</t>
  </si>
  <si>
    <t>J-WJNU301/8-CP3A</t>
  </si>
  <si>
    <t>938,000</t>
  </si>
  <si>
    <t>131,760</t>
  </si>
  <si>
    <t>618,000</t>
  </si>
  <si>
    <t>88,920</t>
  </si>
  <si>
    <t>J-WJ-NU301/12-CP3A</t>
  </si>
  <si>
    <t>1,089,200</t>
  </si>
  <si>
    <t>153,000</t>
  </si>
  <si>
    <t>717,760</t>
  </si>
  <si>
    <t>103,320</t>
  </si>
  <si>
    <t>WJ-NX310/4</t>
  </si>
  <si>
    <t>J-WJNX310/4-CP3A</t>
  </si>
  <si>
    <t>705,600</t>
  </si>
  <si>
    <t>99,000</t>
  </si>
  <si>
    <t>464,860</t>
  </si>
  <si>
    <t>66,960</t>
  </si>
  <si>
    <t>WJ-NX310/8</t>
  </si>
  <si>
    <t>J-WJNX310/8-CP3A</t>
  </si>
  <si>
    <t>879,200</t>
  </si>
  <si>
    <t>123,480</t>
  </si>
  <si>
    <t>579,230</t>
  </si>
  <si>
    <t>83,520</t>
  </si>
  <si>
    <t>WJ-NX310/16</t>
  </si>
  <si>
    <t>J-WJNX310/16-CP3A</t>
  </si>
  <si>
    <t>1,313,900</t>
  </si>
  <si>
    <t>184,320</t>
  </si>
  <si>
    <t>865,620</t>
  </si>
  <si>
    <t>WJ-NX310/32</t>
  </si>
  <si>
    <t>J-WJNX310/32-CP3A</t>
  </si>
  <si>
    <t>1,988,000</t>
  </si>
  <si>
    <t>279,000</t>
  </si>
  <si>
    <t>1,309,720</t>
  </si>
  <si>
    <t>188,640</t>
  </si>
  <si>
    <t>DG-EX310/4</t>
  </si>
  <si>
    <t>J-DGEX310/4-CP3A</t>
  </si>
  <si>
    <t>400,400</t>
  </si>
  <si>
    <t>338,060</t>
  </si>
  <si>
    <t>48,600</t>
  </si>
  <si>
    <t>DG-EX310/8</t>
  </si>
  <si>
    <t>J-DGEX310/8-CP3A</t>
  </si>
  <si>
    <t>501,150</t>
  </si>
  <si>
    <t>90,000</t>
  </si>
  <si>
    <t>423,120</t>
  </si>
  <si>
    <t>60,840</t>
  </si>
  <si>
    <t>DG-EX310/16</t>
  </si>
  <si>
    <t>J-DGEX310/16-CP3A</t>
  </si>
  <si>
    <t>182,880</t>
  </si>
  <si>
    <t>716,300</t>
  </si>
  <si>
    <t>128,880</t>
  </si>
  <si>
    <t>604,780</t>
  </si>
  <si>
    <t>87,120</t>
  </si>
  <si>
    <t>DG-EX310/32</t>
  </si>
  <si>
    <t>J-DGEX310/32-CP3A</t>
  </si>
  <si>
    <t>1,097,200</t>
  </si>
  <si>
    <t>197,280</t>
  </si>
  <si>
    <t>926,370</t>
  </si>
  <si>
    <t>133,560</t>
  </si>
  <si>
    <t>J-WJNX410K-CP3A</t>
  </si>
  <si>
    <t>896,700</t>
  </si>
  <si>
    <t>126,000</t>
  </si>
  <si>
    <t>590,760</t>
  </si>
  <si>
    <t>84,960</t>
  </si>
  <si>
    <t>J-WJNX510K-CP3A</t>
  </si>
  <si>
    <t>1,274,700</t>
  </si>
  <si>
    <t>178,920</t>
  </si>
  <si>
    <t>839,770</t>
  </si>
  <si>
    <t>120,960</t>
  </si>
  <si>
    <t>J-WJHXE410-CP3A</t>
  </si>
  <si>
    <t>56,160</t>
  </si>
  <si>
    <t>263,840</t>
  </si>
  <si>
    <t>J-WJHDU41MUX-CP3A</t>
  </si>
  <si>
    <t>14,660</t>
  </si>
  <si>
    <t>70,000</t>
  </si>
  <si>
    <t>11,100</t>
  </si>
  <si>
    <t>46,170</t>
  </si>
  <si>
    <t>9,520</t>
  </si>
  <si>
    <t>J-WJHDU41NUX-CP3A</t>
  </si>
  <si>
    <t>22,180</t>
  </si>
  <si>
    <t>116,900</t>
  </si>
  <si>
    <t>16,640</t>
  </si>
  <si>
    <t>76,950</t>
  </si>
  <si>
    <t>J-WJHDU41QUX-CP3A</t>
  </si>
  <si>
    <t>163,800</t>
  </si>
  <si>
    <t>107,730</t>
  </si>
  <si>
    <t>19,420</t>
  </si>
  <si>
    <t>J-WJHDU41SUX-CP3A</t>
  </si>
  <si>
    <t>210,700</t>
  </si>
  <si>
    <t>138,520</t>
  </si>
  <si>
    <t>24,160</t>
  </si>
  <si>
    <t>J-WJHDU42/2-CP3A</t>
  </si>
  <si>
    <t>J-WJHDU42/4-CP3A</t>
  </si>
  <si>
    <t>J-WJHDU42/6-CP3A</t>
  </si>
  <si>
    <t>323,400</t>
  </si>
  <si>
    <t>38,820</t>
  </si>
  <si>
    <t>212,880</t>
  </si>
  <si>
    <t>33,820</t>
  </si>
  <si>
    <t>J-WJHDU42/8-CP3A</t>
  </si>
  <si>
    <t>417,900</t>
  </si>
  <si>
    <t>41,580</t>
  </si>
  <si>
    <t>274,740</t>
  </si>
  <si>
    <t>36,240</t>
  </si>
  <si>
    <t>★ J-WJNU300/2-CP4A</t>
  </si>
  <si>
    <t>220,800</t>
  </si>
  <si>
    <t>160,800</t>
  </si>
  <si>
    <t>★ J-WJNU300/4-CP4A</t>
  </si>
  <si>
    <t>250,560</t>
  </si>
  <si>
    <t>★ J-WJNU300/8-CP4A</t>
  </si>
  <si>
    <t>337,440</t>
  </si>
  <si>
    <t>251,040</t>
  </si>
  <si>
    <t>★ J-WJNU301/2-CP4A</t>
  </si>
  <si>
    <t>260,640</t>
  </si>
  <si>
    <t>192,480</t>
  </si>
  <si>
    <t>★ J-WJNU301/4-CP4A</t>
  </si>
  <si>
    <t>280,800</t>
  </si>
  <si>
    <t>206,400</t>
  </si>
  <si>
    <t>★ J-WJNU301/8-CP4A</t>
  </si>
  <si>
    <t>339,360</t>
  </si>
  <si>
    <t>★ J-WJ-NU301/12-CP4A</t>
  </si>
  <si>
    <t>432,000</t>
  </si>
  <si>
    <t>322,560</t>
  </si>
  <si>
    <t>★ J-WJNX310/4-CP4A</t>
  </si>
  <si>
    <t>269,280</t>
  </si>
  <si>
    <t>199,680</t>
  </si>
  <si>
    <t>★_{-WJNX310/8-CP4A} J</t>
  </si>
  <si>
    <t>367,200</t>
  </si>
  <si>
    <t>276,480</t>
  </si>
  <si>
    <t>★ J-WJNX310/16-CP4A</t>
  </si>
  <si>
    <t>516,000</t>
  </si>
  <si>
    <t>386,400</t>
  </si>
  <si>
    <t>★ J-WJNX310/32-CP4A</t>
  </si>
  <si>
    <t>720,000</t>
  </si>
  <si>
    <t>533,760</t>
  </si>
  <si>
    <t>★ J-DGEX310/4-CP4A</t>
  </si>
  <si>
    <t>227,520</t>
  </si>
  <si>
    <t>171,840</t>
  </si>
  <si>
    <t>★ J-DGEX310/8-CP4A</t>
  </si>
  <si>
    <t>315,840</t>
  </si>
  <si>
    <t>241,920</t>
  </si>
  <si>
    <t>★ J-DGEX310/16-CP4A</t>
  </si>
  <si>
    <t>430,080</t>
  </si>
  <si>
    <t>328,320</t>
  </si>
  <si>
    <t>★ J-DGEX310/32-CP4A</t>
  </si>
  <si>
    <t>593,280</t>
  </si>
  <si>
    <t>448,320</t>
  </si>
  <si>
    <t>★
J-WJNX410K-CP4A</t>
  </si>
  <si>
    <t>211,200</t>
  </si>
  <si>
    <t>★ J-WJNX510K-CP4A</t>
  </si>
  <si>
    <t>293,760</t>
  </si>
  <si>
    <t>201,120</t>
  </si>
  <si>
    <t>★ J-WJHXE410-CP4A</t>
  </si>
  <si>
    <t>★ J-WJHDU41MUX-CP4A</t>
  </si>
  <si>
    <t>96,640</t>
  </si>
  <si>
    <t>76,040</t>
  </si>
  <si>
    <t>★ J-WJHDU41NUX-CP4A</t>
  </si>
  <si>
    <t>108,520</t>
  </si>
  <si>
    <t>★_{-WJHDU41QUX-CP4A} J</t>
  </si>
  <si>
    <t>123,560</t>
  </si>
  <si>
    <t>97,680</t>
  </si>
  <si>
    <t>★ J-WJHDU41SUX-CP4A</t>
  </si>
  <si>
    <t>130,420</t>
  </si>
  <si>
    <t>103,500</t>
  </si>
  <si>
    <t>★ J-WJHDU42/2-CP4A</t>
  </si>
  <si>
    <t>★ J-WJHDU42/4-CP4A</t>
  </si>
  <si>
    <t>★ J-WJHDU42/6-CP4A</t>
  </si>
  <si>
    <t>143,460</t>
  </si>
  <si>
    <t>113,840</t>
  </si>
  <si>
    <t>★ J-WJHDU42/8-CP4A</t>
  </si>
  <si>
    <t>156,500</t>
  </si>
  <si>
    <t>★ J-WJNU300/2-CP5A</t>
  </si>
  <si>
    <t>232,200</t>
  </si>
  <si>
    <t>★ J-WJNU300/4-CP5A</t>
  </si>
  <si>
    <t>304,200</t>
  </si>
  <si>
    <t>263,400</t>
  </si>
  <si>
    <t>★ J-WJNU300/8-CP5A</t>
  </si>
  <si>
    <t>403,200</t>
  </si>
  <si>
    <t>354,000</t>
  </si>
  <si>
    <t>★ J-WJNU301/2-CP5A</t>
  </si>
  <si>
    <t>313,200</t>
  </si>
  <si>
    <t>273,600</t>
  </si>
  <si>
    <t>★ J-WJNU301/4-CP5A</t>
  </si>
  <si>
    <t>339,000</t>
  </si>
  <si>
    <t>295,200</t>
  </si>
  <si>
    <t>★ J-WJNU301/8-CP5A</t>
  </si>
  <si>
    <t>409,200</t>
  </si>
  <si>
    <t>★_{-WJ-NU301/12-CP5A} J</t>
  </si>
  <si>
    <t>512,400</t>
  </si>
  <si>
    <t>452,400</t>
  </si>
  <si>
    <t>★ J-WJNX310/4-CP5A</t>
  </si>
  <si>
    <t>321,600</t>
  </si>
  <si>
    <t>282,000</t>
  </si>
  <si>
    <t>★_{-WJNX310/8-CP5A} J</t>
  </si>
  <si>
    <t>384,600</t>
  </si>
  <si>
    <t>★ J-WJNX310/16-CP5A</t>
  </si>
  <si>
    <t>613,200</t>
  </si>
  <si>
    <t>543,000</t>
  </si>
  <si>
    <t>★ J-WJNX310/32-CP5A</t>
  </si>
  <si>
    <t>867,600</t>
  </si>
  <si>
    <t>760,200</t>
  </si>
  <si>
    <t>★ J-DGEX310/4-CP5A</t>
  </si>
  <si>
    <t>265,800</t>
  </si>
  <si>
    <t>237,000</t>
  </si>
  <si>
    <t>★ J-DGEX310/8-CP5A</t>
  </si>
  <si>
    <t>363,600</t>
  </si>
  <si>
    <t>328,800</t>
  </si>
  <si>
    <t>★ J-DGEX310/16-CP5A</t>
  </si>
  <si>
    <t>498,000</t>
  </si>
  <si>
    <t>449,400</t>
  </si>
  <si>
    <t>★ J-DGEX310/32-CP5A</t>
  </si>
  <si>
    <t>697,800</t>
  </si>
  <si>
    <t>622,800</t>
  </si>
  <si>
    <t>★ J-WJNX410K-CP5A</t>
  </si>
  <si>
    <t>277,200</t>
  </si>
  <si>
    <t>228,000</t>
  </si>
  <si>
    <t>★ J-WJNX510K-CP5A</t>
  </si>
  <si>
    <t>388,200</t>
  </si>
  <si>
    <t>318,000</t>
  </si>
  <si>
    <t>★ J-WJHXE410-CP5A</t>
  </si>
  <si>
    <t>★ J-WJHDU41MUX-CP5A</t>
  </si>
  <si>
    <t>104,280</t>
  </si>
  <si>
    <t>82,500</t>
  </si>
  <si>
    <t>★ J-WJHDU41NUX-CP5A</t>
  </si>
  <si>
    <t>123,420</t>
  </si>
  <si>
    <t>98,020</t>
  </si>
  <si>
    <t>★ J-WJHDU41QUX-CP5A</t>
  </si>
  <si>
    <t>109,560</t>
  </si>
  <si>
    <t>★ J-WJHDU41SUX-CP5A</t>
  </si>
  <si>
    <t>149,160</t>
  </si>
  <si>
    <t>118,800</t>
  </si>
  <si>
    <t>★ J-WJHDU42/2-CP5A</t>
  </si>
  <si>
    <t>★_{-WJHDU42/4-CP5A} J</t>
  </si>
  <si>
    <t>★ J-WJHDU42/6-CP5A</t>
  </si>
  <si>
    <t>164,080</t>
  </si>
  <si>
    <t>130,680</t>
  </si>
  <si>
    <t>★ J-WJHDU42/8-CP5A</t>
  </si>
  <si>
    <t>179,000</t>
  </si>
  <si>
    <t>142,560</t>
  </si>
  <si>
    <t>J-WVS1536LNS-CP3S</t>
  </si>
  <si>
    <t>J-WVS15500V3LN-CP3S</t>
  </si>
  <si>
    <t>8,280</t>
  </si>
  <si>
    <t>J-WVS15700V2LK-CP3S</t>
  </si>
  <si>
    <t>43,560</t>
  </si>
  <si>
    <t>20,520</t>
  </si>
  <si>
    <t>J-WVS15700V2LN-CP3S</t>
  </si>
  <si>
    <t>J-WVS22500V3L-CP3S</t>
  </si>
  <si>
    <t>J-WVS25500V3LN-CP3S</t>
  </si>
  <si>
    <t>14,400</t>
  </si>
  <si>
    <t>J-WVS25700V2LN-CP3S</t>
  </si>
  <si>
    <t>16,560</t>
  </si>
  <si>
    <t>J-WVS61300ZY-CP3S</t>
  </si>
  <si>
    <t>5,400</t>
  </si>
  <si>
    <t>J-WVS61301Z1-CP3S</t>
  </si>
  <si>
    <t>9,000</t>
  </si>
  <si>
    <t>J-WVS61301Z2-CP3S</t>
  </si>
  <si>
    <t>6,480</t>
  </si>
  <si>
    <t>J-WVS61302Z4-CP3S</t>
  </si>
  <si>
    <t>33,480</t>
  </si>
  <si>
    <t>J-WVS65300ZYCP3S</t>
  </si>
  <si>
    <t>7,560</t>
  </si>
  <si>
    <t>J-WV-S65301Z1-CP3S</t>
  </si>
  <si>
    <t>J-WVS65302Z2-CP3S</t>
  </si>
  <si>
    <t>J-S65340Z2K-CP3S</t>
  </si>
  <si>
    <t>J-WVS65340Z2N-CP3S</t>
  </si>
  <si>
    <t>J-WVS65340Z4K-CP3S</t>
  </si>
  <si>
    <t>32,040</t>
  </si>
  <si>
    <t>J-WVS65340Z4N-CP3S</t>
  </si>
  <si>
    <t>J-WVS8543LUX-CP3S</t>
  </si>
  <si>
    <t>J-WVS8544LUX-CP3S</t>
  </si>
  <si>
    <t>J-WVS8573LUX-CP3S</t>
  </si>
  <si>
    <t>24,120</t>
  </si>
  <si>
    <t>J-WVS8574LUX-CP3S</t>
  </si>
  <si>
    <t>27,360</t>
  </si>
  <si>
    <t>J-WVB61300ZY-CP3S</t>
  </si>
  <si>
    <t>4,680</t>
  </si>
  <si>
    <t>3,240</t>
  </si>
  <si>
    <t>J-WVB61301Z1-CP3S</t>
  </si>
  <si>
    <t>3,960</t>
  </si>
  <si>
    <t>J-WVB61301Z2-CP3S</t>
  </si>
  <si>
    <t>4,320</t>
  </si>
  <si>
    <t>J-WVB65300ZY-CP3S</t>
  </si>
  <si>
    <t>J-WVB65301Z1-CP3S</t>
  </si>
  <si>
    <t>J-WVB65302Z2-CP3S</t>
  </si>
  <si>
    <t>J-WVS65501Z1-CP3S</t>
  </si>
  <si>
    <t>J-WVX86531Z2-CP3S</t>
  </si>
  <si>
    <t>54,360</t>
  </si>
  <si>
    <t>J-WVSUD638UX-CP3S</t>
  </si>
  <si>
    <t>85,680</t>
  </si>
  <si>
    <t>57,960</t>
  </si>
  <si>
    <t>J-WVS6532LNUX-CP3S</t>
  </si>
  <si>
    <t>J-WVX6533LNUX-CP3S</t>
  </si>
  <si>
    <t>J-WVS6532LNSUX-CP3S</t>
  </si>
  <si>
    <t>J-WVX6533LNSUX-CP3S</t>
  </si>
  <si>
    <t>34,920</t>
  </si>
  <si>
    <t>J-WVS66300Z4L-CP3S</t>
  </si>
  <si>
    <t>21,240</t>
  </si>
  <si>
    <t>J-WVS85402-V2L-CP3S</t>
  </si>
  <si>
    <t>21,600</t>
  </si>
  <si>
    <t>10,080</t>
  </si>
  <si>
    <t>J-WVS85702-F3L-CP3S</t>
  </si>
  <si>
    <t>J-WVU85402-V2L-CP3S</t>
  </si>
  <si>
    <t>J-WVS66700Z3L-CP3S</t>
  </si>
  <si>
    <t>50,400</t>
  </si>
  <si>
    <t>J-WVX15700V2LN-CP3S</t>
  </si>
  <si>
    <t>J-WVX15300V3LN-CP3S</t>
  </si>
  <si>
    <t>J-WVX22700V2L-CP3S</t>
  </si>
  <si>
    <t>J-WVX22300V3L-CP3S</t>
  </si>
  <si>
    <t>J-WVX25700V2LN-CP3S</t>
  </si>
  <si>
    <t>J-WVX25300V3LN-CP3S</t>
  </si>
  <si>
    <t>12,600</t>
  </si>
  <si>
    <t>J-WVS1536LNS-CP４S</t>
  </si>
  <si>
    <t>J-WVS15500V3LN-CP４S</t>
  </si>
  <si>
    <t>29,760</t>
  </si>
  <si>
    <t>J-WVS15700V2LK-CP４S</t>
  </si>
  <si>
    <t>75,360</t>
  </si>
  <si>
    <t>50,880</t>
  </si>
  <si>
    <t>J-WVS15700V2LN-CP４S</t>
  </si>
  <si>
    <t>J-WVS22500V3L-CP４S</t>
  </si>
  <si>
    <t>J-WVS25500V3LN-CP４S</t>
  </si>
  <si>
    <t>35,520</t>
  </si>
  <si>
    <t>24,000</t>
  </si>
  <si>
    <t>J-WVS25700V2LN-CP４S</t>
  </si>
  <si>
    <t>40,800</t>
  </si>
  <si>
    <t>27,840</t>
  </si>
  <si>
    <t>J-WVS61300ZY-CP４S</t>
  </si>
  <si>
    <t>19,680</t>
  </si>
  <si>
    <t>J-WVS61301Z1-CP４S</t>
  </si>
  <si>
    <t>22,560</t>
  </si>
  <si>
    <t>15,360</t>
  </si>
  <si>
    <t>J-WVS61301Z2-CP４S</t>
  </si>
  <si>
    <t>33,600</t>
  </si>
  <si>
    <t>23,520</t>
  </si>
  <si>
    <t>J-WVS61302Z4-CP４S</t>
  </si>
  <si>
    <t>J-WVS65300ZYCP４S</t>
  </si>
  <si>
    <t>J-WV-S65301Z1-CP４S</t>
  </si>
  <si>
    <t>J-WVS65302Z2-CP４S</t>
  </si>
  <si>
    <t>26,400</t>
  </si>
  <si>
    <t>J-S65340Z2K-CP４S</t>
  </si>
  <si>
    <t>J-WVS65340Z2N-CP４S</t>
  </si>
  <si>
    <t>39,840</t>
  </si>
  <si>
    <t>26,880</t>
  </si>
  <si>
    <t>J-WVS65340Z4K-CP４S</t>
  </si>
  <si>
    <t>J-WVS65340Z4N-CP４S</t>
  </si>
  <si>
    <t>96,480</t>
  </si>
  <si>
    <t>J-WVS8543LUX-CP４S</t>
  </si>
  <si>
    <t>29,280</t>
  </si>
  <si>
    <t>J-WVS8544LUX-CP４S</t>
  </si>
  <si>
    <t>72,480</t>
  </si>
  <si>
    <t>J-WVS8573LUX-CP４S</t>
  </si>
  <si>
    <t>J-WVS8574LUX-CP4S</t>
  </si>
  <si>
    <t>95,040</t>
  </si>
  <si>
    <t>66,720</t>
  </si>
  <si>
    <t>J-WVB61300ZY-CP4S</t>
  </si>
  <si>
    <t>16,800</t>
  </si>
  <si>
    <t>7,680</t>
  </si>
  <si>
    <t>J-WVB61301Z1-CP4S</t>
  </si>
  <si>
    <t>13,920</t>
  </si>
  <si>
    <t>9,600</t>
  </si>
  <si>
    <t>J-WVB61301Z2-CP4S</t>
  </si>
  <si>
    <t>10,560</t>
  </si>
  <si>
    <t>J-WVB65300ZY-CP4S</t>
  </si>
  <si>
    <t>J-WVB65301Z1-CP4S</t>
  </si>
  <si>
    <t>12,480</t>
  </si>
  <si>
    <t>J-WVB65302Z2-CP4S</t>
  </si>
  <si>
    <t>14,880</t>
  </si>
  <si>
    <t>J-WVS65501Z1-CP4S</t>
  </si>
  <si>
    <t>41,280</t>
  </si>
  <si>
    <t>J-WVX86531Z2-CP4S</t>
  </si>
  <si>
    <t>94,080</t>
  </si>
  <si>
    <t>J-WVSUD638UX-CP4S</t>
  </si>
  <si>
    <t>210,240</t>
  </si>
  <si>
    <t>J-WVS6532LNUX-CP4S</t>
  </si>
  <si>
    <t>J-WVX6533LNUX-CP4S</t>
  </si>
  <si>
    <t>84,480</t>
  </si>
  <si>
    <t>57,120</t>
  </si>
  <si>
    <t>J-WVS6532LNSUX-CP4S</t>
  </si>
  <si>
    <t>92,640</t>
  </si>
  <si>
    <t>J-WVX6533LNSUX-CP4S</t>
  </si>
  <si>
    <t>179,520</t>
  </si>
  <si>
    <t>85,440</t>
  </si>
  <si>
    <t>J-WVS66300Z4L-CP4S</t>
  </si>
  <si>
    <t>52,320</t>
  </si>
  <si>
    <t>J-WVS85402-V2L-CP4S</t>
  </si>
  <si>
    <t>52,800</t>
  </si>
  <si>
    <t>37,440</t>
  </si>
  <si>
    <t>J-WVS85702-F3L-CP4S</t>
  </si>
  <si>
    <t>44,640</t>
  </si>
  <si>
    <t>J-WVU85402-V2L-CP4S</t>
  </si>
  <si>
    <t>38,400</t>
  </si>
  <si>
    <t>J-WVS66700Z3L-CP4S</t>
  </si>
  <si>
    <t>87,360</t>
  </si>
  <si>
    <t>J-WVX15700V2LN-CP4S</t>
  </si>
  <si>
    <t>J-WVX15300V3LN-CP4S</t>
  </si>
  <si>
    <t>J-WVX22700V2L-CP4S</t>
  </si>
  <si>
    <t>J-WVX22300V3L-CP4S</t>
  </si>
  <si>
    <t>J-WVX25700V2LN-CP4S</t>
  </si>
  <si>
    <t>J-WVX25300V3LN-CP4S</t>
  </si>
  <si>
    <t>65,280</t>
  </si>
  <si>
    <t>31,200</t>
  </si>
  <si>
    <t>J-WVS1536LNS-CP5S</t>
  </si>
  <si>
    <t>120,600</t>
  </si>
  <si>
    <t>85,200</t>
  </si>
  <si>
    <t>57,600</t>
  </si>
  <si>
    <t>J-WVS15500V3LN-CP5S</t>
  </si>
  <si>
    <t>40,200</t>
  </si>
  <si>
    <t>J-WVS15700V2LK-CP5S</t>
  </si>
  <si>
    <t>69,000</t>
  </si>
  <si>
    <t>J-WVS15700V2LN-CP5S</t>
  </si>
  <si>
    <t>46,200</t>
  </si>
  <si>
    <t>J-WVS22500V3L-CP5S</t>
  </si>
  <si>
    <t>J-WVS25500V3LN-CP5S</t>
  </si>
  <si>
    <t>32,400</t>
  </si>
  <si>
    <t>J-WVS25700V2LN-CP5S</t>
  </si>
  <si>
    <t>J-WVS61300ZY-CP5S</t>
  </si>
  <si>
    <t>J-WVS61301Z1-CP5S</t>
  </si>
  <si>
    <t>20,400</t>
  </si>
  <si>
    <t>J-WVS61301Z2-CP5S</t>
  </si>
  <si>
    <t>J-WVS61302Z4-CP5S</t>
  </si>
  <si>
    <t>78,600</t>
  </si>
  <si>
    <t>J-WVS65300ZYCP5S</t>
  </si>
  <si>
    <t>J-WV-S65301Z1-CP5S</t>
  </si>
  <si>
    <t>J-WVS65302Z2-CP5S</t>
  </si>
  <si>
    <t>35,400</t>
  </si>
  <si>
    <t>J-S65340Z2K-CP5S</t>
  </si>
  <si>
    <t>158,400</t>
  </si>
  <si>
    <t>75,600</t>
  </si>
  <si>
    <t>J-WVS65340Z2N-CP5S</t>
  </si>
  <si>
    <t>36,600</t>
  </si>
  <si>
    <t>J-WVS65340Z4K-CP5S</t>
  </si>
  <si>
    <t>J-WVS65340Z4N-CP5S</t>
  </si>
  <si>
    <t>92,400</t>
  </si>
  <si>
    <t>J-WVS8543LUX-CP5S</t>
  </si>
  <si>
    <t>58,800</t>
  </si>
  <si>
    <t>J-WVS8544LUX-CP5S</t>
  </si>
  <si>
    <t>J-WVS8573LUX-CP5S</t>
  </si>
  <si>
    <t>J-WVS8574LUX-CP5S</t>
  </si>
  <si>
    <t>90,600</t>
  </si>
  <si>
    <t>J-WVB61300ZY-CP5S</t>
  </si>
  <si>
    <t>22,200</t>
  </si>
  <si>
    <t>15,600</t>
  </si>
  <si>
    <t>J-WVB61301Z1-CP5S</t>
  </si>
  <si>
    <t>19,200</t>
  </si>
  <si>
    <t>J-WVB61301Z2-CP5S</t>
  </si>
  <si>
    <t>J-WVB65300ZY-CP5S</t>
  </si>
  <si>
    <t>J-WVB65301Z1-CP5S</t>
  </si>
  <si>
    <t>24,600</t>
  </si>
  <si>
    <t>J-WVB65302Z2-CP5S</t>
  </si>
  <si>
    <t>30,000</t>
  </si>
  <si>
    <t>J-WVS65501Z1-CP5S</t>
  </si>
  <si>
    <t>56,400</t>
  </si>
  <si>
    <t>J-WVX86531Z2-CP5S</t>
  </si>
  <si>
    <t>J-WVSUD638UX-CP5S</t>
  </si>
  <si>
    <t>285,600</t>
  </si>
  <si>
    <t>193,200</t>
  </si>
  <si>
    <t>J-WVS6532LNUX-CP5S</t>
  </si>
  <si>
    <t>J-WVX6533LNUX-CP5S</t>
  </si>
  <si>
    <t>114,600</t>
  </si>
  <si>
    <t>77,400</t>
  </si>
  <si>
    <t>J-WVS6532LNSUX-CP5S</t>
  </si>
  <si>
    <t>125,400</t>
  </si>
  <si>
    <t>J-WVX6533LNSUX-CP5S</t>
  </si>
  <si>
    <t>171,600</t>
  </si>
  <si>
    <t>115,800</t>
  </si>
  <si>
    <t>J-WVS66300Z4L-CP5S</t>
  </si>
  <si>
    <t>105,600</t>
  </si>
  <si>
    <t>71,400</t>
  </si>
  <si>
    <t>J-WVS85402-V2L-CP5S</t>
  </si>
  <si>
    <t>J-WVS85702-F3L-CP5S</t>
  </si>
  <si>
    <t>60,600</t>
  </si>
  <si>
    <t>J-WVU85402-V2L-CP5S</t>
  </si>
  <si>
    <t>J-WVS66700Z3L-CP5S</t>
  </si>
  <si>
    <t>80,400</t>
  </si>
  <si>
    <t>J-WVX15700V2LN-CP5S</t>
  </si>
  <si>
    <t>J-WVX15300V3LN-CP5S</t>
  </si>
  <si>
    <t>J-WVX22700V2L-CP5S</t>
  </si>
  <si>
    <t>J-WVX22300V3L-CP5S</t>
  </si>
  <si>
    <t>J-WVX25700V2LN-CP5S</t>
  </si>
  <si>
    <t>81,000</t>
  </si>
  <si>
    <t>J-WVX25300V3LN-CP5S</t>
  </si>
  <si>
    <t>42,000</t>
  </si>
  <si>
    <t>J-WVS66700Z3LN-CP3S</t>
  </si>
  <si>
    <t>52,560</t>
  </si>
  <si>
    <t>24,840</t>
  </si>
  <si>
    <t>J-WVX66700Z3LK-CP3S</t>
  </si>
  <si>
    <t>80,640</t>
  </si>
  <si>
    <t>J-WVS66300Z4LN-CP3S</t>
  </si>
  <si>
    <t>J-WVX66300Z4LK-CP3S</t>
  </si>
  <si>
    <t>49,680</t>
  </si>
  <si>
    <t>J-WVS66700Z3LN-CP4S</t>
  </si>
  <si>
    <t>61,440</t>
  </si>
  <si>
    <t>J-WVX66700Z3LK-CP4S</t>
  </si>
  <si>
    <t>J-WVS66300Z4LN-CP4S</t>
  </si>
  <si>
    <t>J-WVX66300Z4LK-CP4S</t>
  </si>
  <si>
    <t>122,400</t>
  </si>
  <si>
    <t>J-WVS66700Z3LN-CP5S</t>
  </si>
  <si>
    <t>174,600</t>
  </si>
  <si>
    <t>83,400</t>
  </si>
  <si>
    <t>J-WVX66700Z3LK-CP5S</t>
  </si>
  <si>
    <t>189,600</t>
  </si>
  <si>
    <t>128,400</t>
  </si>
  <si>
    <t>J-WVS66300Z4LN-CP5S</t>
  </si>
  <si>
    <t>109,800</t>
  </si>
  <si>
    <t>74,400</t>
  </si>
  <si>
    <t>J-WVX66300Z4LK-CP5S</t>
  </si>
  <si>
    <t>112,200</t>
  </si>
  <si>
    <t>J-WJNU300/2-CP3S</t>
  </si>
  <si>
    <t>57,240</t>
  </si>
  <si>
    <t>J-WJNU300/4-CP3S</t>
  </si>
  <si>
    <t>J-WJNU300/8-CP3S</t>
  </si>
  <si>
    <t>J-WJNU301/2-CP3S</t>
  </si>
  <si>
    <t>88,200</t>
  </si>
  <si>
    <t>J-WJNU301/4-CP3S</t>
  </si>
  <si>
    <t>46,440</t>
  </si>
  <si>
    <t>J-WJNU301/8-CP3S</t>
  </si>
  <si>
    <t>J-WJ-NU301/12-CP3S</t>
  </si>
  <si>
    <t>95,760</t>
  </si>
  <si>
    <t>64,440</t>
  </si>
  <si>
    <t>J-WJNX310/4-CP3S</t>
  </si>
  <si>
    <t>J-WJNX310/8-CP3S</t>
  </si>
  <si>
    <t>77,040</t>
  </si>
  <si>
    <t>J-WJNX310/16-CP3S</t>
  </si>
  <si>
    <t>J-WJNX310/32-CP3S</t>
  </si>
  <si>
    <t>117,720</t>
  </si>
  <si>
    <t>J-DGEX310/4-CP3S</t>
  </si>
  <si>
    <t>J-DGEX310/8-CP3S</t>
  </si>
  <si>
    <t>56,520</t>
  </si>
  <si>
    <t>J-DGEX310/16-CP3S</t>
  </si>
  <si>
    <t>J-DGEX310/32-CP3S</t>
  </si>
  <si>
    <t>J-WJNX410K-CP3S</t>
  </si>
  <si>
    <t>78,840</t>
  </si>
  <si>
    <t>J-WJNX510K-CP3S</t>
  </si>
  <si>
    <t>111,960</t>
  </si>
  <si>
    <t>J-WJHXE410-CP3S</t>
  </si>
  <si>
    <t>35,280</t>
  </si>
  <si>
    <t>－</t>
  </si>
  <si>
    <t>J-WJNU300/2-CP4S</t>
  </si>
  <si>
    <t>J-WJNU300/4-CP4S</t>
  </si>
  <si>
    <t>J-WJNU300/8-CP4S</t>
  </si>
  <si>
    <t>81,600</t>
  </si>
  <si>
    <t>J-WJNU301/2-CP4S</t>
  </si>
  <si>
    <t>J-WJNU301/4-CP4S</t>
  </si>
  <si>
    <t>J-WJNU301/8-CP4S</t>
  </si>
  <si>
    <t>128,160</t>
  </si>
  <si>
    <t>J-WJ-NU301/12-CP4S</t>
  </si>
  <si>
    <t>148,800</t>
  </si>
  <si>
    <t>J-WJNX310/4-CP4S</t>
  </si>
  <si>
    <t>J-WJNX310/8-CP4S</t>
  </si>
  <si>
    <t>J-WJNX310/16-CP4S</t>
  </si>
  <si>
    <t>J-WJNX310/32-CP4S</t>
  </si>
  <si>
    <t>183,360</t>
  </si>
  <si>
    <t>J-DGEX310/4-CP4S</t>
  </si>
  <si>
    <t>105,120</t>
  </si>
  <si>
    <t>92,660</t>
  </si>
  <si>
    <t>J-DGEX310/8-CP4S</t>
  </si>
  <si>
    <t>115,130</t>
  </si>
  <si>
    <t>J-DGEX310/16-CP4S</t>
  </si>
  <si>
    <t>187,920</t>
  </si>
  <si>
    <t>164,740</t>
  </si>
  <si>
    <t>J-DGEX310/32-CP4S</t>
  </si>
  <si>
    <t>288,000</t>
  </si>
  <si>
    <t>252,720</t>
  </si>
  <si>
    <t>J-WJNX410K-CP4S</t>
  </si>
  <si>
    <t>J-WJNX510K-CP4S</t>
  </si>
  <si>
    <t>174,240</t>
  </si>
  <si>
    <t>J-WJHXE410-CP4S</t>
  </si>
  <si>
    <t>J-WJNU300/2-CP5S</t>
  </si>
  <si>
    <t>J-WJNU300/4-CP5S</t>
  </si>
  <si>
    <t>J-WJNU300/8-CP5S</t>
  </si>
  <si>
    <t>164,400</t>
  </si>
  <si>
    <t>J-WJNU301/2-CP5S</t>
  </si>
  <si>
    <t>J-WJNU301/4-CP5S</t>
  </si>
  <si>
    <t>J-WJNU301/8-CP5S</t>
  </si>
  <si>
    <t>174,000</t>
  </si>
  <si>
    <t>J-WJ-NU301/12-CP5S</t>
  </si>
  <si>
    <t>201,600</t>
  </si>
  <si>
    <t>136,200</t>
  </si>
  <si>
    <t>J-WJNX310/4-CP5S</t>
  </si>
  <si>
    <t>130,800</t>
  </si>
  <si>
    <t>J-WJNX310/8-CP5S</t>
  </si>
  <si>
    <t>J-WJNX310/16-CP5S</t>
  </si>
  <si>
    <t>J-WJNX310/32-CP5S</t>
  </si>
  <si>
    <t>368,400</t>
  </si>
  <si>
    <t>249,000</t>
  </si>
  <si>
    <t>J-DGEX310/4-CP5S</t>
  </si>
  <si>
    <t>113,760</t>
  </si>
  <si>
    <t>100,150</t>
  </si>
  <si>
    <t>J-DGEX310/8-CP5S</t>
  </si>
  <si>
    <t>125,420</t>
  </si>
  <si>
    <t>J-DGEX310/16-CP5S</t>
  </si>
  <si>
    <t>203,760</t>
  </si>
  <si>
    <t>179,710</t>
  </si>
  <si>
    <t>J-DGEX310/32-CP5S</t>
  </si>
  <si>
    <t>312,480</t>
  </si>
  <si>
    <t>274,250</t>
  </si>
  <si>
    <t>J-WJNX410K-CP5S</t>
  </si>
  <si>
    <t>J-WJNX510K-CP5S</t>
  </si>
  <si>
    <t>159,600</t>
  </si>
  <si>
    <t>J-WJHXE410-CP5S</t>
  </si>
  <si>
    <t>105,000</t>
  </si>
  <si>
    <t>WV-B51300-F3</t>
  </si>
  <si>
    <t>J-WVB51300F3-CP3A</t>
  </si>
  <si>
    <t>50,700</t>
  </si>
  <si>
    <t>42,630</t>
  </si>
  <si>
    <t>WV-B51300-F3W</t>
  </si>
  <si>
    <t>J-WVB51300F3W-CP3A</t>
  </si>
  <si>
    <t>57,200</t>
  </si>
  <si>
    <t>48,290</t>
  </si>
  <si>
    <t>WV-B54300-F3</t>
  </si>
  <si>
    <t>J-WVB54300F3-CP3A</t>
  </si>
  <si>
    <t>65,000</t>
  </si>
  <si>
    <t>54,840</t>
  </si>
  <si>
    <t>WV-B54300-F3W</t>
  </si>
  <si>
    <t>J-WVB54300F3W-CP3A</t>
  </si>
  <si>
    <t>71,500</t>
  </si>
  <si>
    <t>60,510</t>
  </si>
  <si>
    <t>WV-B71300-F3</t>
  </si>
  <si>
    <t>J-WVB71300F3-CP3A</t>
  </si>
  <si>
    <t>28,280</t>
  </si>
  <si>
    <t>WV-B71300-F3-1</t>
  </si>
  <si>
    <t>J-WVB71300F31-CP3A</t>
  </si>
  <si>
    <t>WV-B71300-F3W</t>
  </si>
  <si>
    <t>J-WVB71300F3W-CP3A</t>
  </si>
  <si>
    <t>35,490</t>
  </si>
  <si>
    <t>29,970</t>
  </si>
  <si>
    <t>3,600</t>
  </si>
  <si>
    <t>WV-B71300-F3W1</t>
  </si>
  <si>
    <t>J-WVB71300F3W1-CP3A</t>
  </si>
  <si>
    <t>WV-S1130VRJUX</t>
  </si>
  <si>
    <t>J-WVS1130VRJUX-CP3A</t>
  </si>
  <si>
    <t>62,300</t>
  </si>
  <si>
    <t>41,220</t>
  </si>
  <si>
    <t>WV-S1135VUX</t>
  </si>
  <si>
    <t>J-WVS1135VUX-CP3A</t>
  </si>
  <si>
    <t>43,980</t>
  </si>
  <si>
    <t>WV-S1136D</t>
  </si>
  <si>
    <t>J-WVS1136D-CP3A</t>
  </si>
  <si>
    <t>83,300</t>
  </si>
  <si>
    <t>54,970</t>
  </si>
  <si>
    <t>WV-S1136UX</t>
  </si>
  <si>
    <t>J-WVS1136UX-CP3A</t>
  </si>
  <si>
    <t>79,100</t>
  </si>
  <si>
    <t>52,220</t>
  </si>
  <si>
    <t>WV-S1510UX</t>
  </si>
  <si>
    <t>J-WVS1510UX-CP3A</t>
  </si>
  <si>
    <t>91,700</t>
  </si>
  <si>
    <t>60,460</t>
  </si>
  <si>
    <t>WV-S1536LBUX</t>
  </si>
  <si>
    <t>J-WVS1536LBUX-CP3A</t>
  </si>
  <si>
    <t>13,320</t>
  </si>
  <si>
    <t>111,900</t>
  </si>
  <si>
    <t>73,870</t>
  </si>
  <si>
    <t>WV-S1536LDN</t>
  </si>
  <si>
    <t>J-WVS1536LDN-CP3A</t>
  </si>
  <si>
    <t>137,900</t>
  </si>
  <si>
    <t>90,700</t>
  </si>
  <si>
    <t>WV-S1536LTNUX</t>
  </si>
  <si>
    <t>J-WVS1536LTNUX-CP3A</t>
  </si>
  <si>
    <t>175,000</t>
  </si>
  <si>
    <t>115,430</t>
  </si>
  <si>
    <t>WV-S1536LUX</t>
  </si>
  <si>
    <t>J-WVS1536LUX-CP3A</t>
  </si>
  <si>
    <t>WV-S2130RJUX</t>
  </si>
  <si>
    <t>J-WVS2130RJUX-CP3A</t>
  </si>
  <si>
    <t>WV-S2135UX</t>
  </si>
  <si>
    <t>J-WVS2135UX-CP3A</t>
  </si>
  <si>
    <t>WV-S2136LBUX</t>
  </si>
  <si>
    <t>J-WVS2136LBUX-CP3A</t>
  </si>
  <si>
    <t>WV-S2136LD</t>
  </si>
  <si>
    <t>J-WVS2136LD-CP3A</t>
  </si>
  <si>
    <t>120,400</t>
  </si>
  <si>
    <t>79,700</t>
  </si>
  <si>
    <t>J-WVS2136LUX-CP3A</t>
  </si>
  <si>
    <t>WV-S2536LNUX</t>
  </si>
  <si>
    <t>J-WVS2536LNUX-CP3A</t>
  </si>
  <si>
    <t>200,200</t>
  </si>
  <si>
    <t>131,920</t>
  </si>
  <si>
    <t>WV-S2536LTNUX</t>
  </si>
  <si>
    <t>J-WVS2536LTNUX-CP3A</t>
  </si>
  <si>
    <t>208,600</t>
  </si>
  <si>
    <t>137,420</t>
  </si>
  <si>
    <t>WV-S4151UX</t>
  </si>
  <si>
    <t>J-WVS4151UX-CP3A</t>
  </si>
  <si>
    <t>121,500</t>
  </si>
  <si>
    <t>82,450</t>
  </si>
  <si>
    <t>WV-S4156UX</t>
  </si>
  <si>
    <t>J-WVS4156UX-CP3A</t>
  </si>
  <si>
    <t>125,300</t>
  </si>
  <si>
    <t>WV-S4176UX</t>
  </si>
  <si>
    <t>J-WVS4176UX-CP3A</t>
  </si>
  <si>
    <t>191,800</t>
  </si>
  <si>
    <t>126,420</t>
  </si>
  <si>
    <t>WV-S4556LUX</t>
  </si>
  <si>
    <t>J-WVS4556LUX-CP3A</t>
  </si>
  <si>
    <t>WV-S4576LUX</t>
  </si>
  <si>
    <t>J-WVS4576LUX-CP3A</t>
  </si>
  <si>
    <t>28,800</t>
  </si>
  <si>
    <t>242,200</t>
  </si>
  <si>
    <t>159,410</t>
  </si>
  <si>
    <t>WV-S7130UX</t>
  </si>
  <si>
    <t>J-WVS7130UX-CP3A</t>
  </si>
  <si>
    <t>55,100</t>
  </si>
  <si>
    <t>WV-S7130WUX</t>
  </si>
  <si>
    <t>J-WVS7130WUX-CP3A</t>
  </si>
  <si>
    <t>57,950</t>
  </si>
  <si>
    <t>WV-U11300-V2</t>
  </si>
  <si>
    <t>J-WVU11300V2-CP3A</t>
  </si>
  <si>
    <t>53,900</t>
  </si>
  <si>
    <t>35,630</t>
  </si>
  <si>
    <t>WV-U1130A</t>
  </si>
  <si>
    <t>J-WVU1130A-CP3A</t>
  </si>
  <si>
    <t>37,520</t>
  </si>
  <si>
    <t>24,620</t>
  </si>
  <si>
    <t>2,880</t>
  </si>
  <si>
    <t>WV-U1132A</t>
  </si>
  <si>
    <t>J-WVU1132A-CP3A</t>
  </si>
  <si>
    <t>46,900</t>
  </si>
  <si>
    <t>30,780</t>
  </si>
  <si>
    <t>WV-U1142A</t>
  </si>
  <si>
    <t>J-WVU1142A-CP3A</t>
  </si>
  <si>
    <t>68,600</t>
  </si>
  <si>
    <t>45,130</t>
  </si>
  <si>
    <t>WV-U1532LA</t>
  </si>
  <si>
    <t>J-WVU1532LA-CP3A</t>
  </si>
  <si>
    <t>WV-U1542LA</t>
  </si>
  <si>
    <t>J-WVU1542LA-CP3A</t>
  </si>
  <si>
    <t>69,350</t>
  </si>
  <si>
    <t>WV-U21300-V2L</t>
  </si>
  <si>
    <t>J-WVU21300V2L-CP3A</t>
  </si>
  <si>
    <t>63,700</t>
  </si>
  <si>
    <t>41,800</t>
  </si>
  <si>
    <t>WV-U2130LA</t>
  </si>
  <si>
    <t>J-WVU2130LA-CP3A</t>
  </si>
  <si>
    <t>30,880</t>
  </si>
  <si>
    <t>WV-U2132LA</t>
  </si>
  <si>
    <t>J-WVU2132LA-CP3A</t>
  </si>
  <si>
    <t>56,000</t>
  </si>
  <si>
    <t>36,940</t>
  </si>
  <si>
    <t>WV-U2140LA</t>
  </si>
  <si>
    <t>J-WVU2140LA-CP3A</t>
  </si>
  <si>
    <t>WV-U2142LA</t>
  </si>
  <si>
    <t>J-WVU2142LA-CP3A</t>
  </si>
  <si>
    <t>77,700</t>
  </si>
  <si>
    <t>51,300</t>
  </si>
  <si>
    <t>WV-U2530LA</t>
  </si>
  <si>
    <t>J-WVU2530LA-CP3A</t>
  </si>
  <si>
    <t>WV-U2532LA</t>
  </si>
  <si>
    <t>J-WVU2532LA-CP3A</t>
  </si>
  <si>
    <t>87,500</t>
  </si>
  <si>
    <t>57,480</t>
  </si>
  <si>
    <t>WV-U2540LA</t>
  </si>
  <si>
    <t>J-WVU2540LA-CP3A</t>
  </si>
  <si>
    <t>99,400</t>
  </si>
  <si>
    <t>65,550</t>
  </si>
  <si>
    <t>WV-U2542LA</t>
  </si>
  <si>
    <t>J-WVU2542LA-CP3A</t>
  </si>
  <si>
    <t>109,200</t>
  </si>
  <si>
    <t>71,730</t>
  </si>
  <si>
    <t>WV-S32302-F2L</t>
  </si>
  <si>
    <t>J-WVS32302F2L-CP3A</t>
  </si>
  <si>
    <t>69,300</t>
  </si>
  <si>
    <t>45,660</t>
  </si>
  <si>
    <t>WV-S32302-F2L1</t>
  </si>
  <si>
    <t>J-WVS32302F2L1-CP3A</t>
  </si>
  <si>
    <t>WV-S35302-F2L</t>
  </si>
  <si>
    <t>J-WVS35302F2L-CP3A</t>
  </si>
  <si>
    <t>86,100</t>
  </si>
  <si>
    <t>56,720</t>
  </si>
  <si>
    <t>WV-S35302-F2L1</t>
  </si>
  <si>
    <t>J-WVS35302F2L1-CP3A</t>
  </si>
  <si>
    <t>WV-S32402-F2L</t>
  </si>
  <si>
    <t>J-WVS32402F2L-CP3A</t>
  </si>
  <si>
    <t>97,300</t>
  </si>
  <si>
    <t>64,100</t>
  </si>
  <si>
    <t>WV-S35402-F2L</t>
  </si>
  <si>
    <t>J-WVS35402F2L-CP3A</t>
  </si>
  <si>
    <t>114,100</t>
  </si>
  <si>
    <t>75,170</t>
  </si>
  <si>
    <t>WV-U31301-F2L</t>
  </si>
  <si>
    <t>J-WVU31301F2L-CP3A</t>
  </si>
  <si>
    <t>58,380</t>
  </si>
  <si>
    <t>38,480</t>
  </si>
  <si>
    <t>WV-U35301-F2L</t>
  </si>
  <si>
    <t>J-WVU35301F2L-CP3A</t>
  </si>
  <si>
    <t>81,200</t>
  </si>
  <si>
    <t>53,500</t>
  </si>
  <si>
    <t>WV-U31401-F2L</t>
  </si>
  <si>
    <t>J-WVU31401F2L-CP3A</t>
  </si>
  <si>
    <t>52,570</t>
  </si>
  <si>
    <t>WV-U35401-F2L</t>
  </si>
  <si>
    <t>J-WVU35401F2L-CP3A</t>
  </si>
  <si>
    <t>102,900</t>
  </si>
  <si>
    <t>67,790</t>
  </si>
  <si>
    <t>WV-X35302-F2LM</t>
  </si>
  <si>
    <t>J-WVX35302F2LM-CP3A</t>
  </si>
  <si>
    <t>77,020</t>
  </si>
  <si>
    <t>WV-X35402-F2LM</t>
  </si>
  <si>
    <t>J-WVX35402F2LM-CP3A</t>
  </si>
  <si>
    <t>144,900</t>
  </si>
  <si>
    <t>95,460</t>
  </si>
  <si>
    <t>DG-EU101/1</t>
  </si>
  <si>
    <t>92,300</t>
  </si>
  <si>
    <t>J-DGEU101/1-CP3A</t>
  </si>
  <si>
    <t>78,010</t>
  </si>
  <si>
    <t>DG-EU101/2</t>
  </si>
  <si>
    <t>118,300</t>
  </si>
  <si>
    <t>J-DGEU101/2-CP3A</t>
  </si>
  <si>
    <t>100,060</t>
  </si>
  <si>
    <t>DG-EU201/1</t>
  </si>
  <si>
    <t>120,250</t>
  </si>
  <si>
    <t>J-DGEU201/1-CP3A</t>
  </si>
  <si>
    <t>101,750</t>
  </si>
  <si>
    <t>DG-EU201/2</t>
  </si>
  <si>
    <t>146,900</t>
  </si>
  <si>
    <t>J-DGEU201/2-CP3A</t>
  </si>
  <si>
    <t>123,800</t>
  </si>
  <si>
    <t>DG-EU201/4</t>
  </si>
  <si>
    <t>199,550</t>
  </si>
  <si>
    <t>J-DGEU201/4-CP3A</t>
  </si>
  <si>
    <t>36,000</t>
  </si>
  <si>
    <t>168,460</t>
  </si>
  <si>
    <t>WJ-NU101/1</t>
  </si>
  <si>
    <t>J-WJNU101/1-CP3A</t>
  </si>
  <si>
    <t>WJ-NU101/2</t>
  </si>
  <si>
    <t>259,700</t>
  </si>
  <si>
    <t>J-WJNU101/2-CP3A</t>
  </si>
  <si>
    <t>171,010</t>
  </si>
  <si>
    <t>WJ-NU201/1</t>
  </si>
  <si>
    <t>365,400</t>
  </si>
  <si>
    <t>J-WJNU201/1-CP3A</t>
  </si>
  <si>
    <t>240,840</t>
  </si>
  <si>
    <t>497,000</t>
  </si>
  <si>
    <t>J-WJNU201/2-CP3A</t>
  </si>
  <si>
    <t>69,840</t>
  </si>
  <si>
    <t>327,290</t>
  </si>
  <si>
    <t>47,160</t>
  </si>
  <si>
    <t>WJ-NU201/4</t>
  </si>
  <si>
    <t>574,000</t>
  </si>
  <si>
    <t>J-WJNU201/4-CP3A</t>
  </si>
  <si>
    <t>378,120</t>
  </si>
  <si>
    <t>WJ-GXD300UX</t>
  </si>
  <si>
    <t>310,100</t>
  </si>
  <si>
    <t>J-WJGXD300UX-CP3A</t>
  </si>
  <si>
    <t>204,150</t>
  </si>
  <si>
    <t>J-WVB51300F3-CP3S</t>
  </si>
  <si>
    <t>J-WVB51300F3W-CP3S</t>
  </si>
  <si>
    <t>J-WVB54300F3-CP3S</t>
  </si>
  <si>
    <t>J-WVB54300F3W-CP3S</t>
  </si>
  <si>
    <t>J-WVB71300F3-CP3S</t>
  </si>
  <si>
    <t>2,160</t>
  </si>
  <si>
    <t>J-WVB71300F31-CP3S</t>
  </si>
  <si>
    <t>J-WVB71300F3W-CP3S</t>
  </si>
  <si>
    <t>J-WVB71300F3W1-CP3S</t>
  </si>
  <si>
    <t>J-WVS1130VRJUX-CP3S</t>
  </si>
  <si>
    <t>J-WVS1135VUX-CP3S</t>
  </si>
  <si>
    <t>J-WVS1136D-CP3S</t>
  </si>
  <si>
    <t>J-WVS1136UX-CP3S</t>
  </si>
  <si>
    <t>J-WVS1510UX-CP3S</t>
  </si>
  <si>
    <t>J-WVS1536LBUX-CP3S</t>
  </si>
  <si>
    <t>J-WVS1536LDN-CP3S</t>
  </si>
  <si>
    <t>J-WVS1536LTNUX-CP3S</t>
  </si>
  <si>
    <t>J-WVS1536LUX-CP3S</t>
  </si>
  <si>
    <t>J-WVS2130RJUX-CP3S</t>
  </si>
  <si>
    <t>J-WVS2135UX-CP3S</t>
  </si>
  <si>
    <t>J-WVS2136LBUX-CP3S</t>
  </si>
  <si>
    <t>J-WVS2136LD-CP3S</t>
  </si>
  <si>
    <t>J-WVS2136LUX-CP3S</t>
  </si>
  <si>
    <t>J-WVS2536LNUX-CP3S</t>
  </si>
  <si>
    <t>J-WVS2536LTNUX-CP3S</t>
  </si>
  <si>
    <t>J-WVS4151UX-CP3S</t>
  </si>
  <si>
    <t>J-WVS4156UX-CP3S</t>
  </si>
  <si>
    <t>J-WVS4176UX-CP3S</t>
  </si>
  <si>
    <t>J-WVS4556LUX-CP3S</t>
  </si>
  <si>
    <t>J-WVS4576LUX-CP3S</t>
  </si>
  <si>
    <t>J-WVS7130UX-CP3S</t>
  </si>
  <si>
    <t>J-WVS7130WUX-CP3S</t>
  </si>
  <si>
    <t>J-WVU11300V2-CP3S</t>
  </si>
  <si>
    <t>2,520</t>
  </si>
  <si>
    <t>J-WVU1130A-CP3S</t>
  </si>
  <si>
    <t>1,800</t>
  </si>
  <si>
    <t>J-WVU1132A-CP3S</t>
  </si>
  <si>
    <t>J-WVU1142A-CP3S</t>
  </si>
  <si>
    <t>J-WVU1532LA-CP3S</t>
  </si>
  <si>
    <t>J-WVU1542LA-CP3S</t>
  </si>
  <si>
    <t>J-WVU21300V2L-CP3S</t>
  </si>
  <si>
    <t>J-WVU2130LA-CP3S</t>
  </si>
  <si>
    <t>J-WVU2132LA-CP3S</t>
  </si>
  <si>
    <t>J-WVU2140LA-CP3S</t>
  </si>
  <si>
    <t>J-WVU2142LA-CP3S</t>
  </si>
  <si>
    <t>J-WVU2530LA-CP3S</t>
  </si>
  <si>
    <t>J-WVU2532LA-CP3S</t>
  </si>
  <si>
    <t>J-WVU2540LA-CP3S</t>
  </si>
  <si>
    <t>J-WVU2542LA-CP3S</t>
  </si>
  <si>
    <t>J-WVS32302F2L-CP3S</t>
  </si>
  <si>
    <t>J-WVS32302F2L1-CP3S</t>
  </si>
  <si>
    <t>J-WVS35302F2L-CP3S</t>
  </si>
  <si>
    <t>J-WVS35302F2L1-CP3S</t>
  </si>
  <si>
    <t>J-WVS32402F2L-CP3S</t>
  </si>
  <si>
    <t>J-WVS35402F2L-CP3S</t>
  </si>
  <si>
    <t>J-WVU31301F2L-CP3S</t>
  </si>
  <si>
    <t>J-WVU35301F2L-CP3S</t>
  </si>
  <si>
    <t>J-WVU31401F2L-CP3S</t>
  </si>
  <si>
    <t>J-WVU35401F2L-CP3S</t>
  </si>
  <si>
    <t>J-WVX35302F2LM-CP3S</t>
  </si>
  <si>
    <t>J-WVX35402F2LM-CP3S</t>
  </si>
  <si>
    <t>J-DGEU101/1-CP3S</t>
  </si>
  <si>
    <t>J-DGEU101/2-CP3S</t>
  </si>
  <si>
    <t>J-DGEU201/1-CP3S</t>
  </si>
  <si>
    <t>J-DGEU201/2-CP3S</t>
  </si>
  <si>
    <t>J-DGEU201/4-CP3S</t>
  </si>
  <si>
    <t>J-WJNU101/1-CP3S</t>
  </si>
  <si>
    <t>J-WJNU101/2-CP3S</t>
  </si>
  <si>
    <t>J-WJNU201/1-CP3S</t>
  </si>
  <si>
    <t>J-WJNU201/2-CP3S</t>
  </si>
  <si>
    <t>J-WJNU201/4-CP3S</t>
  </si>
  <si>
    <t>J-WJGXD300UX-CP3S</t>
  </si>
  <si>
    <t>J-WVB51300F3-CP4A</t>
  </si>
  <si>
    <t>J-WVB51300F3W-CP4A</t>
  </si>
  <si>
    <t>37,920</t>
  </si>
  <si>
    <t>J-WVB54300F3-CP4A</t>
  </si>
  <si>
    <t>J-WVB54300F3W-CP4A</t>
  </si>
  <si>
    <t>J-WVB71300F3-CP4A</t>
  </si>
  <si>
    <t>11,040</t>
  </si>
  <si>
    <t>J-WVB71300F31-CP4A</t>
  </si>
  <si>
    <t>J-WVB71300F3W-CP4A</t>
  </si>
  <si>
    <t>16,320</t>
  </si>
  <si>
    <t>J-WVB71300F3W1-CP4A</t>
  </si>
  <si>
    <t>J-WVS1130VRJUX-CP4A</t>
  </si>
  <si>
    <t>J-WVS1135VUX-CP4A</t>
  </si>
  <si>
    <t>25,440</t>
  </si>
  <si>
    <t>J-WVS1136D-CP4A</t>
  </si>
  <si>
    <t>J-WVS1136UX-CP4A</t>
  </si>
  <si>
    <t>42,720</t>
  </si>
  <si>
    <t>20,640</t>
  </si>
  <si>
    <t>J-WVS1510UX-CP4A</t>
  </si>
  <si>
    <t>J-WVS1536LBUX-CP4A</t>
  </si>
  <si>
    <t>J-WVS1536LDN-CP4A</t>
  </si>
  <si>
    <t>J-WVS1536LTNUX-CP4A</t>
  </si>
  <si>
    <t>J-WVS1536LUX-CP4A</t>
  </si>
  <si>
    <t>J-WVS2130RJUX-CP4A</t>
  </si>
  <si>
    <t>J-WVS2135UX-CP4A</t>
  </si>
  <si>
    <t>J-WVS2136LBUX-CP4A</t>
  </si>
  <si>
    <t>J-WVS2136LD-CP4A</t>
  </si>
  <si>
    <t>J-WVS2136LUX-CP4A</t>
  </si>
  <si>
    <t>J-WVS2536LNUX-CP4A</t>
  </si>
  <si>
    <t>76,320</t>
  </si>
  <si>
    <t>J-WVS2536LTNUX-CP4A</t>
  </si>
  <si>
    <t>53,760</t>
  </si>
  <si>
    <t>J-WVS4151UX-CP4A</t>
  </si>
  <si>
    <t>67,680</t>
  </si>
  <si>
    <t>32,160</t>
  </si>
  <si>
    <t>J-WVS4156UX-CP4A</t>
  </si>
  <si>
    <t>J-WVS4176UX-CP4A</t>
  </si>
  <si>
    <t>72,960</t>
  </si>
  <si>
    <t>J-WVS4556LUX-CP4A</t>
  </si>
  <si>
    <t>J-WVS4576LUX-CP4A</t>
  </si>
  <si>
    <t>J-WVS7130UX-CP4A</t>
  </si>
  <si>
    <t>J-WVS7130WUX-CP4A</t>
  </si>
  <si>
    <t>J-WVU11300V2-CP4A</t>
  </si>
  <si>
    <t>J-WVU1130A-CP4A</t>
  </si>
  <si>
    <t>J-WVU1132A-CP4A</t>
  </si>
  <si>
    <t>17,760</t>
  </si>
  <si>
    <t>12,000</t>
  </si>
  <si>
    <t>J-WVU1142A-CP4A</t>
  </si>
  <si>
    <t>J-WVU1532LA-CP4A</t>
  </si>
  <si>
    <t>J-WVU1542LA-CP4A</t>
  </si>
  <si>
    <t>J-WVU21300V2L-CP4A</t>
  </si>
  <si>
    <t>J-WVU2130LA-CP4A</t>
  </si>
  <si>
    <t>J-WVU2132LA-CP4A</t>
  </si>
  <si>
    <t>J-WVU2140LA-CP4A</t>
  </si>
  <si>
    <t>J-WVU2142LA-CP4A</t>
  </si>
  <si>
    <t>J-WVU2530LA-CP4A</t>
  </si>
  <si>
    <t>J-WVU2532LA-CP4A</t>
  </si>
  <si>
    <t>J-WVU2540LA-CP4A</t>
  </si>
  <si>
    <t>J-WVU2542LA-CP4A</t>
  </si>
  <si>
    <t>J-WVS32302F2L-CP4A</t>
  </si>
  <si>
    <t>J-WVS32302F2L1-CP4A</t>
  </si>
  <si>
    <t>J-WVS35302F2L-CP4A</t>
  </si>
  <si>
    <t>J-WVS35302F2L1-CP4A</t>
  </si>
  <si>
    <t>J-WVS32402F2L-CP4A</t>
  </si>
  <si>
    <t>J-WVS35402F2L-CP4A</t>
  </si>
  <si>
    <t>J-WVU31301F2L-CP4A</t>
  </si>
  <si>
    <t>J-WVU35301F2L-CP4A</t>
  </si>
  <si>
    <t>21,120</t>
  </si>
  <si>
    <t>J-WVU31401F2L-CP4A</t>
  </si>
  <si>
    <t>30,720</t>
  </si>
  <si>
    <t>J-WVU35401F2L-CP4A</t>
  </si>
  <si>
    <t>J-WVX35302F2LM-CP4A</t>
  </si>
  <si>
    <t>J-WVX35402F2LM-CP4A</t>
  </si>
  <si>
    <t>J-DGEU101/1-CP4A</t>
  </si>
  <si>
    <t>70,080</t>
  </si>
  <si>
    <t>J-DGEU101/2-CP4A</t>
  </si>
  <si>
    <t>73,440</t>
  </si>
  <si>
    <t>J-DGEU201/1-CP4A</t>
  </si>
  <si>
    <t>J-DGEU201/2-CP4A</t>
  </si>
  <si>
    <t>75,840</t>
  </si>
  <si>
    <t>J-DGEU201/4-CP4A</t>
  </si>
  <si>
    <t>90,240</t>
  </si>
  <si>
    <t>J-WJNU101/1-CP4A</t>
  </si>
  <si>
    <t>J-WJNU101/2-CP4A</t>
  </si>
  <si>
    <t>101,280</t>
  </si>
  <si>
    <t>J-WJNU201/1-CP4A</t>
  </si>
  <si>
    <t>108,960</t>
  </si>
  <si>
    <t>J-WJNU201/2-CP4A</t>
  </si>
  <si>
    <t>121,920</t>
  </si>
  <si>
    <t>J-WJNU201/4-CP4A</t>
  </si>
  <si>
    <t>J-WJGXD300UX-CP4A</t>
  </si>
  <si>
    <t>J-WVB51300F3-CP4S</t>
  </si>
  <si>
    <t>J-WVB51300F3W-CP4S</t>
  </si>
  <si>
    <t>J-WVB54300F3-CP4S</t>
  </si>
  <si>
    <t>J-WVB54300F3W-CP4S</t>
  </si>
  <si>
    <t>J-WVB71300F3-CP4S</t>
  </si>
  <si>
    <t>5,280</t>
  </si>
  <si>
    <t>J-WVB71300F31-CP4S</t>
  </si>
  <si>
    <t>J-WVB71300F3W-CP4S</t>
  </si>
  <si>
    <t>8,160</t>
  </si>
  <si>
    <t>J-WVB71300F3W1-CP4S</t>
  </si>
  <si>
    <t>J-WVS1130VRJUX-CP4S</t>
  </si>
  <si>
    <t>J-WVS1135VUX-CP4S</t>
  </si>
  <si>
    <t>J-WVS1136D-CP4S</t>
  </si>
  <si>
    <t>J-WVS1136UX-CP4S</t>
  </si>
  <si>
    <t>J-WVS1510UX-CP4S</t>
  </si>
  <si>
    <t>J-WVS1536LBUX-CP4S</t>
  </si>
  <si>
    <t>13,440</t>
  </si>
  <si>
    <t>J-WVS1536LDN-CP4S</t>
  </si>
  <si>
    <t>J-WVS1536LTNUX-CP4S</t>
  </si>
  <si>
    <t>J-WVS1536LUX-CP4S</t>
  </si>
  <si>
    <t>J-WVS2130RJUX-CP4S</t>
  </si>
  <si>
    <t>J-WVS2135UX-CP4S</t>
  </si>
  <si>
    <t>J-WVS2136LBUX-CP4S</t>
  </si>
  <si>
    <t>J-WVS2136LD-CP4S</t>
  </si>
  <si>
    <t>J-WVS2136LUX-CP4S</t>
  </si>
  <si>
    <t>J-WVS2536LNUX-CP4S</t>
  </si>
  <si>
    <t>J-WVS2536LTNUX-CP4S</t>
  </si>
  <si>
    <t>J-WVS4151UX-CP4S</t>
  </si>
  <si>
    <t>J-WVS4156UX-CP4S</t>
  </si>
  <si>
    <t>J-WVS4176UX-CP4S</t>
  </si>
  <si>
    <t>J-WVS4556LUX-CP4S</t>
  </si>
  <si>
    <t>J-WVS4576LUX-CP4S</t>
  </si>
  <si>
    <t>J-WVS7130UX-CP4S</t>
  </si>
  <si>
    <t>J-WVS7130WUX-CP4S</t>
  </si>
  <si>
    <t>J-WVU11300V2-CP4S</t>
  </si>
  <si>
    <t>6,720</t>
  </si>
  <si>
    <t>J-WVU1130A-CP4S</t>
  </si>
  <si>
    <t>J-WVU1132A-CP4S</t>
  </si>
  <si>
    <t>J-WVU1142A-CP4S</t>
  </si>
  <si>
    <t>J-WVU1532LA-CP4S</t>
  </si>
  <si>
    <t>J-WVU1542LA-CP4S</t>
  </si>
  <si>
    <t>J-WVU21300V2L-CP4S</t>
  </si>
  <si>
    <t>J-WVU2130LA-CP4S</t>
  </si>
  <si>
    <t>J-WVU2132LA-CP4S</t>
  </si>
  <si>
    <t>J-WVU2140LA-CP4S</t>
  </si>
  <si>
    <t>J-WVU2142LA-CP4S</t>
  </si>
  <si>
    <t>9,120</t>
  </si>
  <si>
    <t>J-WVU2530LA-CP4S</t>
  </si>
  <si>
    <t>J-WVU2532LA-CP4S</t>
  </si>
  <si>
    <t>J-WVU2540LA-CP4S</t>
  </si>
  <si>
    <t>J-WVU2542LA-CP4S</t>
  </si>
  <si>
    <t>J-WVS32302F2L-CP4S</t>
  </si>
  <si>
    <t>J-WVS32302F2L1-CP4S</t>
  </si>
  <si>
    <t>J-WVS35302F2L-CP4S</t>
  </si>
  <si>
    <t>J-WVS35302F2L1-CP4S</t>
  </si>
  <si>
    <t>J-WVS32402F2L-CP4S</t>
  </si>
  <si>
    <t>J-WVS35402F2L-CP4S</t>
  </si>
  <si>
    <t>J-WVU31301F2L-CP4S</t>
  </si>
  <si>
    <t>J-WVU35301F2L-CP4S</t>
  </si>
  <si>
    <t>J-WVU31401F2L-CP4S</t>
  </si>
  <si>
    <t>J-WVU35401F2L-CP4S</t>
  </si>
  <si>
    <t>J-WVX35302F2LM-CP4S</t>
  </si>
  <si>
    <t>J-WVX35402F2LM-CP4S</t>
  </si>
  <si>
    <t>J-DGEU101/1-CP4S</t>
  </si>
  <si>
    <t>J-DGEU101/2-CP4S</t>
  </si>
  <si>
    <t>J-DGEU201/1-CP4S</t>
  </si>
  <si>
    <t>J-DGEU201/2-CP4S</t>
  </si>
  <si>
    <t>J-DGEU201/4-CP4S</t>
  </si>
  <si>
    <t>J-WJNU101/1-CP4S</t>
  </si>
  <si>
    <t>J-WJNU101/2-CP4S</t>
  </si>
  <si>
    <t>J-WJNU201/1-CP4S</t>
  </si>
  <si>
    <t>49,920</t>
  </si>
  <si>
    <t>J-WJNU201/2-CP4S</t>
  </si>
  <si>
    <t>J-WJNU201/4-CP4S</t>
  </si>
  <si>
    <t>78,240</t>
  </si>
  <si>
    <t>J-WJGXD300UX-CP4S</t>
  </si>
  <si>
    <t>J-WVB51300F3-CP5A</t>
  </si>
  <si>
    <t>29,400</t>
  </si>
  <si>
    <t>21,000</t>
  </si>
  <si>
    <t>J-WVB51300F3W-CP5A</t>
  </si>
  <si>
    <t>J-WVB54300F3-CP5A</t>
  </si>
  <si>
    <t>J-WVB54300F3W-CP5A</t>
  </si>
  <si>
    <t>J-WVB71300F3-CP5A</t>
  </si>
  <si>
    <t>28,200</t>
  </si>
  <si>
    <t>13,800</t>
  </si>
  <si>
    <t>J-WVB71300F31-CP5A</t>
  </si>
  <si>
    <t>J-WVB71300F3W-CP5A</t>
  </si>
  <si>
    <t>J-WVB71300F3W1-CP5A</t>
  </si>
  <si>
    <t>J-WVS1130VRJUX-CP5A</t>
  </si>
  <si>
    <t>J-WVS1135VUX-CP5A</t>
  </si>
  <si>
    <t>J-WVS1136D-CP5A</t>
  </si>
  <si>
    <t>J-WVS1136UX-CP5A</t>
  </si>
  <si>
    <t>25,800</t>
  </si>
  <si>
    <t>J-WVS1510UX-CP5A</t>
  </si>
  <si>
    <t>43,800</t>
  </si>
  <si>
    <t>J-WVS1536LBUX-CP5A</t>
  </si>
  <si>
    <t>J-WVS1536LDN-CP5A</t>
  </si>
  <si>
    <t>44,400</t>
  </si>
  <si>
    <t>J-WVS1536LTNUX-CP5A</t>
  </si>
  <si>
    <t>J-WVS1536LUX-CP5A</t>
  </si>
  <si>
    <t>J-WVS2130RJUX-CP5A</t>
  </si>
  <si>
    <t>J-WVS2135UX-CP5A</t>
  </si>
  <si>
    <t>J-WVS2136LBUX-CP5A</t>
  </si>
  <si>
    <t>J-WVS2136LD-CP5A</t>
  </si>
  <si>
    <t>39,000</t>
  </si>
  <si>
    <t>J-WVS2136LUX-CP5A</t>
  </si>
  <si>
    <t>J-WVS2536LNUX-CP5A</t>
  </si>
  <si>
    <t>95,400</t>
  </si>
  <si>
    <t>J-WVS2536LTNUX-CP5A</t>
  </si>
  <si>
    <t>J-WVS4151UX-CP5A</t>
  </si>
  <si>
    <t>J-WVS4156UX-CP5A</t>
  </si>
  <si>
    <t>J-WVS4176UX-CP5A</t>
  </si>
  <si>
    <t>91,800</t>
  </si>
  <si>
    <t>J-WVS4556LUX-CP5A</t>
  </si>
  <si>
    <t>J-WVS4576LUX-CP5A</t>
  </si>
  <si>
    <t>J-WVS7130UX-CP5A</t>
  </si>
  <si>
    <t>J-WVS7130WUX-CP5A</t>
  </si>
  <si>
    <t>J-WVU11300V2-CP5A</t>
  </si>
  <si>
    <t>17,400</t>
  </si>
  <si>
    <t>J-WVU1130A-CP5A</t>
  </si>
  <si>
    <t>J-WVU1132A-CP5A</t>
  </si>
  <si>
    <t>15,000</t>
  </si>
  <si>
    <t>J-WVU1142A-CP5A</t>
  </si>
  <si>
    <t>J-WVU1532LA-CP5A</t>
  </si>
  <si>
    <t>J-WVU1542LA-CP5A</t>
  </si>
  <si>
    <t>J-WVU21300V2L-CP5A</t>
  </si>
  <si>
    <t>J-WVU2130LA-CP5A</t>
  </si>
  <si>
    <t>J-WVU2132LA-CP5A</t>
  </si>
  <si>
    <t>J-WVU2140LA-CP5A</t>
  </si>
  <si>
    <t>J-WVU2142LA-CP5A</t>
  </si>
  <si>
    <t>37,200</t>
  </si>
  <si>
    <t>J-WVU2530LA-CP5A</t>
  </si>
  <si>
    <t>J-WVU2532LA-CP5A</t>
  </si>
  <si>
    <t>J-WVU2540LA-CP5A</t>
  </si>
  <si>
    <t>47,400</t>
  </si>
  <si>
    <t>J-WVU2542LA-CP5A</t>
  </si>
  <si>
    <t>J-WVS32302F2L-CP5A</t>
  </si>
  <si>
    <t>33,000</t>
  </si>
  <si>
    <t>J-WVS32302F2L1-CP5A</t>
  </si>
  <si>
    <t>J-WVS35302F2L-CP5A</t>
  </si>
  <si>
    <t>27,600</t>
  </si>
  <si>
    <t>J-WVS35302F2L1-CP5A</t>
  </si>
  <si>
    <t>J-WVS32402F2L-CP5A</t>
  </si>
  <si>
    <t>J-WVS35402F2L-CP5A</t>
  </si>
  <si>
    <t>J-WVU31301F2L-CP5A</t>
  </si>
  <si>
    <t>18,600</t>
  </si>
  <si>
    <t>J-WVU35301F2L-CP5A</t>
  </si>
  <si>
    <t>J-WVU31401F2L-CP5A</t>
  </si>
  <si>
    <t>J-WVU35401F2L-CP5A</t>
  </si>
  <si>
    <t>J-WVX35302F2LM-CP5A</t>
  </si>
  <si>
    <t>J-WVX35402F2LM-CP5A</t>
  </si>
  <si>
    <t>J-DGEU101/1-CP5A</t>
  </si>
  <si>
    <t>87,000</t>
  </si>
  <si>
    <t>J-DGEU101/2-CP5A</t>
  </si>
  <si>
    <t>96,600</t>
  </si>
  <si>
    <t>J-DGEU201/1-CP5A</t>
  </si>
  <si>
    <t>J-DGEU201/2-CP5A</t>
  </si>
  <si>
    <t>100,800</t>
  </si>
  <si>
    <t>J-DGEU201/4-CP5A</t>
  </si>
  <si>
    <t>121,200</t>
  </si>
  <si>
    <t>J-WJNU101/1-CP5A</t>
  </si>
  <si>
    <t>J-WJNU101/2-CP5A</t>
  </si>
  <si>
    <t>J-WJNU201/1-CP5A</t>
  </si>
  <si>
    <t>J-WJNU201/2-CP5A</t>
  </si>
  <si>
    <t>124,800</t>
  </si>
  <si>
    <t>J-WJNU201/4-CP5A</t>
  </si>
  <si>
    <t>J-WJGXD300UX-CP5A</t>
  </si>
  <si>
    <t>J-WVB51300F3-CP5S</t>
  </si>
  <si>
    <t>J-WVB51300F3W-CP5S</t>
  </si>
  <si>
    <t>J-WVB54300F3-CP5S</t>
  </si>
  <si>
    <t>J-WVB54300F3W-CP5S</t>
  </si>
  <si>
    <t>J-WVB71300F3-CP5S</t>
  </si>
  <si>
    <t>10,200</t>
  </si>
  <si>
    <t>J-WVB71300F31-CP5S</t>
  </si>
  <si>
    <t>J-WVB71300F3W-CP5S</t>
  </si>
  <si>
    <t>J-WVB71300F3W1-CP5S</t>
  </si>
  <si>
    <t>J-WVS1130VRJUX-CP5S</t>
  </si>
  <si>
    <t>J-WVS1135VUX-CP5S</t>
  </si>
  <si>
    <t>J-WVS1136D-CP5S</t>
  </si>
  <si>
    <t>J-WVS1136UX-CP5S</t>
  </si>
  <si>
    <t>J-WVS1510UX-CP5S</t>
  </si>
  <si>
    <t>J-WVS1536LBUX-CP5S</t>
  </si>
  <si>
    <t>J-WVS1536LDN-CP5S</t>
  </si>
  <si>
    <t>J-WVS1536LTNUX-CP5S</t>
  </si>
  <si>
    <t>J-WVS1536LUX-CP5S</t>
  </si>
  <si>
    <t>J-WVS2130RJUX-CP5S</t>
  </si>
  <si>
    <t>J-WVS2135UX-CP5S</t>
  </si>
  <si>
    <t>J-WVS2136LBUX-CP5S</t>
  </si>
  <si>
    <t>J-WVS2136LD-CP5S</t>
  </si>
  <si>
    <t>J-WVS2136LUX-CP5S</t>
  </si>
  <si>
    <t>J-WVS2536LNUX-CP5S</t>
  </si>
  <si>
    <t>J-WVS2536LTNUX-CP5S</t>
  </si>
  <si>
    <t>J-WVS4151UX-CP5S</t>
  </si>
  <si>
    <t>J-WVS4156UX-CP5S</t>
  </si>
  <si>
    <t>J-WVS4176UX-CP5S</t>
  </si>
  <si>
    <t>J-WVS4556LUX-CP5S</t>
  </si>
  <si>
    <t>J-WVS4576LUX-CP5S</t>
  </si>
  <si>
    <t>58,200</t>
  </si>
  <si>
    <t>J-WVS7130UX-CP5S</t>
  </si>
  <si>
    <t>J-WVS7130WUX-CP5S</t>
  </si>
  <si>
    <t>J-WVU11300V2-CP5S</t>
  </si>
  <si>
    <t>13,200</t>
  </si>
  <si>
    <t>J-WVU1130A-CP5S</t>
  </si>
  <si>
    <t>6,000</t>
  </si>
  <si>
    <t>J-WVU1132A-CP5S</t>
  </si>
  <si>
    <t>11,400</t>
  </si>
  <si>
    <t>7,800</t>
  </si>
  <si>
    <t>J-WVU1142A-CP5S</t>
  </si>
  <si>
    <t>J-WVU1532LA-CP5S</t>
  </si>
  <si>
    <t>J-WVU1542LA-CP5S</t>
  </si>
  <si>
    <t>J-WVU21300V2L-CP5S</t>
  </si>
  <si>
    <t>J-WVU2130LA-CP5S</t>
  </si>
  <si>
    <t>J-WVU2132LA-CP5S</t>
  </si>
  <si>
    <t>J-WVU2140LA-CP5S</t>
  </si>
  <si>
    <t>J-WVU2142LA-CP5S</t>
  </si>
  <si>
    <t>J-WVU2530LA-CP5S</t>
  </si>
  <si>
    <t>J-WVU2532LA-CP5S</t>
  </si>
  <si>
    <t>J-WVU2540LA-CP5S</t>
  </si>
  <si>
    <t>J-WVU2542LA-CP5S</t>
  </si>
  <si>
    <t>J-WVS32302F2L-CP5S</t>
  </si>
  <si>
    <t>J-WVS32302F2L1-CP5S</t>
  </si>
  <si>
    <t>J-WVS35302F2L-CP5S</t>
  </si>
  <si>
    <t>J-WVS35302F2L1-CP5S</t>
  </si>
  <si>
    <t>J-WVS32402F2L-CP5S</t>
  </si>
  <si>
    <t>J-WVS35402F2L-CP5S</t>
  </si>
  <si>
    <t>J-WVU31301F2L-CP5S</t>
  </si>
  <si>
    <t>J-WVU35301F2L-CP5S</t>
  </si>
  <si>
    <t>J-WVU31401F2L-CP5S</t>
  </si>
  <si>
    <t>J-WVU35401F2L-CP5S</t>
  </si>
  <si>
    <t>J-WVX35302F2LM-CP5S</t>
  </si>
  <si>
    <t>J-WVX35402F2LM-CP5S</t>
  </si>
  <si>
    <t>J-DGEU101/1-CP5S</t>
  </si>
  <si>
    <t>J-DGEU101/2-CP5S</t>
  </si>
  <si>
    <t>J-DGEU201/1-CP5S</t>
  </si>
  <si>
    <t>J-DGEU201/2-CP5S</t>
  </si>
  <si>
    <t>J-DGEU201/4-CP5S</t>
  </si>
  <si>
    <t>J-WJNU101/1-CP5S</t>
  </si>
  <si>
    <t>J-WJNU101/2-CP5S</t>
  </si>
  <si>
    <t>J-WJNU201/1-CP5S</t>
  </si>
  <si>
    <t>67,800</t>
  </si>
  <si>
    <t>J-WJNU201/2-CP5S</t>
  </si>
  <si>
    <t>J-WJNU201/4-CP5S</t>
  </si>
  <si>
    <t>106,200</t>
  </si>
  <si>
    <t>J-WJGXD300UX-CP5S</t>
  </si>
  <si>
    <t>ケアパック品番(3年間)</t>
  </si>
  <si>
    <t>価格(3年間)</t>
  </si>
  <si>
    <t>ケアパック品番(4年間)</t>
  </si>
  <si>
    <t>価格(4年間)</t>
  </si>
  <si>
    <t>ケアパック品番(5年間)</t>
  </si>
  <si>
    <t>価格(5年間)</t>
  </si>
  <si>
    <t xml:space="preserve">
WJ-NX410K</t>
  </si>
  <si>
    <t xml:space="preserve">
WJ-NX510K</t>
  </si>
  <si>
    <t xml:space="preserve">
WJ-HXE410</t>
  </si>
  <si>
    <t xml:space="preserve">
WJ-HDU41MUX</t>
  </si>
  <si>
    <t xml:space="preserve">
WJ-HDU41NUX</t>
  </si>
  <si>
    <t xml:space="preserve">
WJ-HDU41QUX</t>
  </si>
  <si>
    <t xml:space="preserve">
WJ-HDU41SUX</t>
  </si>
  <si>
    <t xml:space="preserve">
WJ-HDU42/2</t>
  </si>
  <si>
    <t xml:space="preserve">
WJ-HDU42/4</t>
  </si>
  <si>
    <t xml:space="preserve">
WJ-HDU42/6</t>
  </si>
  <si>
    <t xml:space="preserve">
WJ-HDU42/8</t>
  </si>
  <si>
    <t>価格表を転記するモジュールを追加</t>
    <rPh sb="0" eb="3">
      <t>カカクヒョウ</t>
    </rPh>
    <rPh sb="4" eb="6">
      <t>テンキ</t>
    </rPh>
    <rPh sb="14" eb="16">
      <t>ツイカ</t>
    </rPh>
    <phoneticPr fontId="7"/>
  </si>
  <si>
    <t>2025/01/29-09:52</t>
    <phoneticPr fontId="7"/>
  </si>
  <si>
    <t>価格表を更新するバッチを起動　→queryテーブルをすべて更新するモジュールを追加</t>
    <rPh sb="0" eb="3">
      <t>カカクヒョウ</t>
    </rPh>
    <rPh sb="4" eb="6">
      <t>コウシン</t>
    </rPh>
    <rPh sb="12" eb="14">
      <t>キドウ</t>
    </rPh>
    <rPh sb="29" eb="31">
      <t>コウシン</t>
    </rPh>
    <rPh sb="39" eb="41">
      <t>ツイカ</t>
    </rPh>
    <phoneticPr fontId="7"/>
  </si>
  <si>
    <t>2025/01/29-09:53</t>
  </si>
  <si>
    <t>※※年度</t>
    <rPh sb="2" eb="4">
      <t>ネンド</t>
    </rPh>
    <phoneticPr fontId="7"/>
  </si>
  <si>
    <t>オンサイト、センドバック、Nパッケージのシートを.xlsxで出力</t>
    <rPh sb="30" eb="32">
      <t>シュツリョク</t>
    </rPh>
    <phoneticPr fontId="7"/>
  </si>
  <si>
    <t>b1.3</t>
  </si>
  <si>
    <t>メール作成モジュールをインポート</t>
    <rPh sb="3" eb="5">
      <t>サクセイ</t>
    </rPh>
    <phoneticPr fontId="7"/>
  </si>
  <si>
    <t>2025/01/29-10:27</t>
  </si>
  <si>
    <t>価格表（セ価格）</t>
    <rPh sb="0" eb="3">
      <t>カカクヒョウ</t>
    </rPh>
    <rPh sb="5" eb="7">
      <t>カカク</t>
    </rPh>
    <phoneticPr fontId="7"/>
  </si>
  <si>
    <t>価格表（卸価格）</t>
    <rPh sb="0" eb="3">
      <t>カカクヒョウ</t>
    </rPh>
    <rPh sb="4" eb="5">
      <t>オロシ</t>
    </rPh>
    <rPh sb="5" eb="7">
      <t>カカク</t>
    </rPh>
    <phoneticPr fontId="7"/>
  </si>
  <si>
    <t>代替</t>
  </si>
  <si>
    <t>代替品</t>
  </si>
  <si>
    <t>登録番号が連番でないバグを修正</t>
    <rPh sb="0" eb="4">
      <t>トウロクバンゴウ</t>
    </rPh>
    <rPh sb="5" eb="7">
      <t>レンバン</t>
    </rPh>
    <rPh sb="13" eb="15">
      <t>シュウセイ</t>
    </rPh>
    <phoneticPr fontId="7"/>
  </si>
  <si>
    <t>2025/01/29-16:34</t>
    <phoneticPr fontId="7"/>
  </si>
  <si>
    <t>b1.3.01</t>
    <phoneticPr fontId="7"/>
  </si>
  <si>
    <t xml:space="preserve">H24/E5 </t>
    <phoneticPr fontId="7"/>
  </si>
  <si>
    <t>郵便番号</t>
    <phoneticPr fontId="27"/>
  </si>
  <si>
    <t>059-353-0241</t>
    <phoneticPr fontId="7"/>
  </si>
  <si>
    <t>092-534-5507</t>
    <phoneticPr fontId="7"/>
  </si>
  <si>
    <t>未処理フォルダにあるExcelファイルを無差別に処理するように変更</t>
    <rPh sb="0" eb="3">
      <t>ミショリ</t>
    </rPh>
    <rPh sb="20" eb="23">
      <t>ムサベツ</t>
    </rPh>
    <rPh sb="24" eb="26">
      <t>ショリ</t>
    </rPh>
    <rPh sb="31" eb="33">
      <t>ヘンコウ</t>
    </rPh>
    <phoneticPr fontId="7"/>
  </si>
  <si>
    <t>2025/01/30-11:02</t>
  </si>
  <si>
    <t>電話番号、郵便番号の列は全角→半角の処理をするように変更</t>
    <rPh sb="0" eb="2">
      <t>デンワ</t>
    </rPh>
    <rPh sb="2" eb="4">
      <t>バンゴウ</t>
    </rPh>
    <rPh sb="5" eb="9">
      <t>ユウビンバンゴウ</t>
    </rPh>
    <rPh sb="10" eb="11">
      <t>レツ</t>
    </rPh>
    <rPh sb="12" eb="14">
      <t>ゼンカク</t>
    </rPh>
    <rPh sb="15" eb="17">
      <t>ハンカク</t>
    </rPh>
    <rPh sb="18" eb="20">
      <t>ショリ</t>
    </rPh>
    <rPh sb="26" eb="28">
      <t>ヘンコウ</t>
    </rPh>
    <phoneticPr fontId="7"/>
  </si>
  <si>
    <t>【バグ】7075688（渡邊さん）のPCでEnviron("username”）が処理できない
→エラー：プロジェクトまたはライブラリが見つかりません。</t>
    <phoneticPr fontId="7"/>
  </si>
  <si>
    <t>2025/01/30-11:54</t>
    <phoneticPr fontId="7"/>
  </si>
  <si>
    <t xml:space="preserve"> username = Environ("USERNAME")　→ username = Environ$("USERNAME")</t>
    <phoneticPr fontId="7"/>
  </si>
  <si>
    <t>2025/01/30-11:57</t>
    <phoneticPr fontId="7"/>
  </si>
  <si>
    <t>b1.3.02</t>
  </si>
  <si>
    <t>b1.3.03</t>
  </si>
  <si>
    <t>① [管理表] 作成</t>
    <rPh sb="3" eb="6">
      <t>カンリヒョウ</t>
    </rPh>
    <rPh sb="8" eb="10">
      <t>サクセイ</t>
    </rPh>
    <phoneticPr fontId="7"/>
  </si>
  <si>
    <t>価格表  →管理表</t>
    <rPh sb="0" eb="3">
      <t>カカクヒョウ</t>
    </rPh>
    <rPh sb="6" eb="9">
      <t>カンリヒョウ</t>
    </rPh>
    <phoneticPr fontId="7"/>
  </si>
  <si>
    <t>username = CreateObject("WScript.Shell").ExpandEnvironmentStrings("%USERNAME%")</t>
    <phoneticPr fontId="7"/>
  </si>
  <si>
    <t>2025/01/30-12:53</t>
  </si>
  <si>
    <t>b1.3.04</t>
  </si>
  <si>
    <t>処理が終わったファイルを移動するように変更</t>
    <rPh sb="0" eb="2">
      <t>ショリ</t>
    </rPh>
    <rPh sb="3" eb="4">
      <t>オ</t>
    </rPh>
    <rPh sb="12" eb="14">
      <t>イドウ</t>
    </rPh>
    <rPh sb="19" eb="21">
      <t>ヘンコウ</t>
    </rPh>
    <phoneticPr fontId="7"/>
  </si>
  <si>
    <t>2025/01/30-15:26</t>
    <phoneticPr fontId="7"/>
  </si>
  <si>
    <t>Miura Ken (三浦 賢) &lt;miura.ken001@jp.panasonic.com&gt;</t>
    <phoneticPr fontId="7"/>
  </si>
  <si>
    <t>customerpost@ml.jp.panasonic.com; eng_carepack@ml.jp.panasonic.com</t>
    <phoneticPr fontId="7"/>
  </si>
  <si>
    <t xml:space="preserve">三浦さん
 お疲れ様です。
 ケアパック登録受付窓口の渡邊です。
</t>
    <phoneticPr fontId="7"/>
  </si>
  <si>
    <t>=YEAR(EDATE(TODAY(), -1)) &amp; "年" &amp; MONTH(EDATE(TODAY(), -1)) &amp; "月更新分i-Proケアパック管理表を送付させて頂きます。"</t>
    <phoneticPr fontId="7"/>
  </si>
  <si>
    <t>="【i-Proケアパック】管理表送付（" &amp; YEAR(EDATE(TODAY(),-1)) &amp; "年" &amp; MONTH(EDATE(TODAY(),-1)) &amp; "月更新分)"</t>
    <phoneticPr fontId="7"/>
  </si>
  <si>
    <t>集計</t>
    <rPh sb="0" eb="2">
      <t>シュウケイ</t>
    </rPh>
    <phoneticPr fontId="7"/>
  </si>
  <si>
    <t>オンサイト</t>
    <phoneticPr fontId="7"/>
  </si>
  <si>
    <t>センドバック</t>
    <phoneticPr fontId="7"/>
  </si>
  <si>
    <t>Nパッケージ</t>
    <phoneticPr fontId="7"/>
  </si>
  <si>
    <t>基準日(1日）</t>
    <rPh sb="0" eb="2">
      <t>キジュン</t>
    </rPh>
    <rPh sb="2" eb="3">
      <t>ヒ</t>
    </rPh>
    <rPh sb="5" eb="6">
      <t>ニチ</t>
    </rPh>
    <phoneticPr fontId="7"/>
  </si>
  <si>
    <t>基準日（末日）</t>
    <rPh sb="0" eb="2">
      <t>キジュン</t>
    </rPh>
    <rPh sb="2" eb="3">
      <t>ヒ</t>
    </rPh>
    <rPh sb="4" eb="6">
      <t>マツジツ</t>
    </rPh>
    <phoneticPr fontId="7"/>
  </si>
  <si>
    <t xml:space="preserve">
 よろしくお願いします。</t>
    <phoneticPr fontId="7"/>
  </si>
  <si>
    <t>=TEXTJOIN(CHAR(10), TRUE, "＜受注情報＞", "＜" &amp; MONTH(EDATE(TODAY(), -1)) &amp; "月　受注情報＞", "・オンサイト　："&amp;$F$4&amp;"件", "・センドバック："&amp;$F$5&amp;"件", "・Nパッケージ ："&amp;$F$6&amp;"件")</t>
    <phoneticPr fontId="7"/>
  </si>
  <si>
    <t>月報用のメールが自動生成できるように変更</t>
    <rPh sb="0" eb="2">
      <t>ゲッポウ</t>
    </rPh>
    <rPh sb="2" eb="3">
      <t>ヨウ</t>
    </rPh>
    <rPh sb="8" eb="10">
      <t>ジドウ</t>
    </rPh>
    <rPh sb="10" eb="12">
      <t>セイセイ</t>
    </rPh>
    <rPh sb="18" eb="20">
      <t>ヘンコウ</t>
    </rPh>
    <phoneticPr fontId="7"/>
  </si>
  <si>
    <t>2025/01/31-13:39</t>
    <phoneticPr fontId="7"/>
  </si>
  <si>
    <t xml:space="preserve">
 ※本メールについての質問、返信は登録受付窓口アドレスへお願い致します。
 ******************************************************************************
 　パナソニックコネクト株式会社　現場ソリューションカンパニー
 　サービスプラットフォーム本部 オペレーション総括部
 　ケアパック受付窓口
 　Mail：eng_carepack@ml.jp.panasonic.com
******************************************************************************</t>
    <phoneticPr fontId="7"/>
  </si>
  <si>
    <t>b1.3.05</t>
  </si>
  <si>
    <t>追加したコードによるバクを修正</t>
    <rPh sb="0" eb="2">
      <t>ツイカ</t>
    </rPh>
    <rPh sb="13" eb="15">
      <t>シュウセイ</t>
    </rPh>
    <phoneticPr fontId="7"/>
  </si>
  <si>
    <t>2025/01/31-17:58</t>
  </si>
  <si>
    <t>「登録シート」が見つからなかったら「未処理」送り</t>
    <rPh sb="1" eb="3">
      <t>トウロク</t>
    </rPh>
    <rPh sb="8" eb="9">
      <t>ミ</t>
    </rPh>
    <rPh sb="18" eb="21">
      <t>ミショリ</t>
    </rPh>
    <rPh sb="22" eb="23">
      <t>オク</t>
    </rPh>
    <phoneticPr fontId="7"/>
  </si>
  <si>
    <t>2025/01/31-18:12</t>
    <phoneticPr fontId="7"/>
  </si>
  <si>
    <t>月報用メールを作成します。</t>
    <rPh sb="0" eb="2">
      <t>ゲッポウ</t>
    </rPh>
    <rPh sb="2" eb="3">
      <t>ヨウ</t>
    </rPh>
    <rPh sb="7" eb="9">
      <t>サクセイ</t>
    </rPh>
    <phoneticPr fontId="7"/>
  </si>
  <si>
    <t>b1.3.06</t>
  </si>
  <si>
    <t>2025/01/31-18:26</t>
    <phoneticPr fontId="7"/>
  </si>
  <si>
    <r>
      <t xml:space="preserve">価格表を更新をバッチスクリプトからVBAに変更
</t>
    </r>
    <r>
      <rPr>
        <sz val="10"/>
        <color rgb="FFFF0000"/>
        <rFont val="BIZ UDPゴシック"/>
        <family val="3"/>
        <charset val="128"/>
      </rPr>
      <t>→バグ発生・・・（ファイル選択直後にエラー）</t>
    </r>
    <rPh sb="0" eb="3">
      <t>カカクヒョウ</t>
    </rPh>
    <rPh sb="4" eb="6">
      <t>コウシン</t>
    </rPh>
    <rPh sb="21" eb="23">
      <t>ヘンコウ</t>
    </rPh>
    <rPh sb="27" eb="29">
      <t>ハッセイ</t>
    </rPh>
    <rPh sb="37" eb="39">
      <t>センタク</t>
    </rPh>
    <rPh sb="39" eb="41">
      <t>チョクゴ</t>
    </rPh>
    <phoneticPr fontId="7"/>
  </si>
  <si>
    <t>古いファイルをOLDフォルダに移動してから、転記するように改修</t>
    <rPh sb="0" eb="1">
      <t>フル</t>
    </rPh>
    <rPh sb="15" eb="17">
      <t>イドウ</t>
    </rPh>
    <rPh sb="22" eb="24">
      <t>テンキ</t>
    </rPh>
    <rPh sb="29" eb="31">
      <t>カイシュウ</t>
    </rPh>
    <phoneticPr fontId="7"/>
  </si>
  <si>
    <t>2025/02/03-17:13</t>
  </si>
  <si>
    <t>b1.3.07</t>
  </si>
  <si>
    <t>登録シート取込みの処理を変更（再帰処理しないことがあるバグ）</t>
    <rPh sb="0" eb="2">
      <t>トウロク</t>
    </rPh>
    <rPh sb="5" eb="7">
      <t>トリコ</t>
    </rPh>
    <rPh sb="9" eb="11">
      <t>ショリ</t>
    </rPh>
    <rPh sb="12" eb="14">
      <t>ヘンコウ</t>
    </rPh>
    <rPh sb="15" eb="19">
      <t>サイキショリ</t>
    </rPh>
    <phoneticPr fontId="7"/>
  </si>
  <si>
    <t>2025/02/04-17:32</t>
  </si>
  <si>
    <t>価格表の取込み部分を修正</t>
    <rPh sb="0" eb="3">
      <t>カカクヒョウ</t>
    </rPh>
    <rPh sb="4" eb="6">
      <t>トリコ</t>
    </rPh>
    <rPh sb="7" eb="9">
      <t>ブブン</t>
    </rPh>
    <rPh sb="10" eb="12">
      <t>シュウセイ</t>
    </rPh>
    <phoneticPr fontId="7"/>
  </si>
  <si>
    <t>2025/02/04-17:33</t>
  </si>
  <si>
    <t>b1.3.08</t>
  </si>
  <si>
    <t>［バグ］ファイルを再帰的に読み込まないことがある。
※特殊文字などが原因？？
Do While　→　For Each file In folder.Files　に変更</t>
    <rPh sb="9" eb="12">
      <t>サイキテキ</t>
    </rPh>
    <rPh sb="13" eb="14">
      <t>ヨ</t>
    </rPh>
    <rPh sb="15" eb="16">
      <t>コ</t>
    </rPh>
    <rPh sb="27" eb="29">
      <t>トクシュ</t>
    </rPh>
    <rPh sb="29" eb="31">
      <t>モジ</t>
    </rPh>
    <rPh sb="34" eb="36">
      <t>ゲンイン</t>
    </rPh>
    <rPh sb="82" eb="84">
      <t>ヘンコウ</t>
    </rPh>
    <phoneticPr fontId="7"/>
  </si>
  <si>
    <t>2025/02/06-09:29</t>
    <phoneticPr fontId="7"/>
  </si>
  <si>
    <t>b1.3.09</t>
  </si>
  <si>
    <t>［バグ］"test_【福西電機　宝塚】アイプロケアパック登録シート_20230801  (1).xlsx"がSub MoveProcessedFileでファイルを移動できない。</t>
    <rPh sb="81" eb="83">
      <t>イドウ</t>
    </rPh>
    <phoneticPr fontId="7"/>
  </si>
  <si>
    <t>2025/02/06-14:11</t>
    <phoneticPr fontId="7"/>
  </si>
  <si>
    <t>b1.3.10</t>
  </si>
  <si>
    <t>2025/02/06-14:18</t>
    <phoneticPr fontId="7"/>
  </si>
  <si>
    <t>書類の記載に不備があったら、それ以後の処理をすっとばして
・罫線をひく
・下方向にフィル
・ファイルを閉じる
・ファイルを移動する　の２点を実行するように変更</t>
    <rPh sb="0" eb="2">
      <t>ショルイ</t>
    </rPh>
    <rPh sb="3" eb="5">
      <t>キサイ</t>
    </rPh>
    <rPh sb="6" eb="8">
      <t>フビ</t>
    </rPh>
    <rPh sb="16" eb="18">
      <t>イゴ</t>
    </rPh>
    <rPh sb="19" eb="21">
      <t>ショリ</t>
    </rPh>
    <rPh sb="30" eb="32">
      <t>ケイセン</t>
    </rPh>
    <rPh sb="37" eb="40">
      <t>シタホウコウ</t>
    </rPh>
    <rPh sb="51" eb="52">
      <t>ト</t>
    </rPh>
    <rPh sb="61" eb="63">
      <t>イドウ</t>
    </rPh>
    <rPh sb="68" eb="69">
      <t>テン</t>
    </rPh>
    <rPh sb="70" eb="72">
      <t>ジッコウ</t>
    </rPh>
    <rPh sb="77" eb="79">
      <t>ヘンコウ</t>
    </rPh>
    <phoneticPr fontId="7"/>
  </si>
  <si>
    <t>■登録シート取込みマクロが問題なく動作するVer</t>
    <rPh sb="1" eb="3">
      <t>トウロク</t>
    </rPh>
    <rPh sb="6" eb="8">
      <t>トリコ</t>
    </rPh>
    <rPh sb="13" eb="15">
      <t>モンダイ</t>
    </rPh>
    <rPh sb="17" eb="19">
      <t>ドウサ</t>
    </rPh>
    <phoneticPr fontId="7"/>
  </si>
  <si>
    <t>2025/02/06-14:20</t>
  </si>
  <si>
    <t>［バグ］代替品交換機種かどうかを判定結果が"Value"となってしまっている。</t>
    <rPh sb="4" eb="11">
      <t>ダイタイヒンコウカンキシュ</t>
    </rPh>
    <rPh sb="16" eb="20">
      <t>ハンテイケッカ</t>
    </rPh>
    <phoneticPr fontId="7"/>
  </si>
  <si>
    <t>2025/02/06-14:34</t>
    <phoneticPr fontId="7"/>
  </si>
  <si>
    <t>オンサイト：AZ列、センドバック：AX列にXLOOKUP関数を代入するよう処理を変更</t>
    <rPh sb="8" eb="9">
      <t>レツ</t>
    </rPh>
    <rPh sb="19" eb="20">
      <t>レツ</t>
    </rPh>
    <rPh sb="28" eb="30">
      <t>カンスウ</t>
    </rPh>
    <rPh sb="31" eb="33">
      <t>ダイニュウ</t>
    </rPh>
    <rPh sb="37" eb="39">
      <t>ショリ</t>
    </rPh>
    <rPh sb="40" eb="42">
      <t>ヘンコウ</t>
    </rPh>
    <phoneticPr fontId="7"/>
  </si>
  <si>
    <t>2025/02/06-15:09</t>
    <phoneticPr fontId="7"/>
  </si>
  <si>
    <t>b1.3.11</t>
  </si>
  <si>
    <t>［バグ］機器明細シートにデータがないのに空白行を取得
［バグ］機器明細シートにデータがあるのにデータを転記できていない</t>
    <rPh sb="4" eb="6">
      <t>キキ</t>
    </rPh>
    <rPh sb="6" eb="8">
      <t>メイサイ</t>
    </rPh>
    <rPh sb="20" eb="22">
      <t>クウハク</t>
    </rPh>
    <rPh sb="22" eb="23">
      <t>ギョウ</t>
    </rPh>
    <rPh sb="24" eb="26">
      <t>シュトク</t>
    </rPh>
    <rPh sb="31" eb="33">
      <t>キキ</t>
    </rPh>
    <rPh sb="33" eb="35">
      <t>メイサイ</t>
    </rPh>
    <rPh sb="51" eb="53">
      <t>テンキ</t>
    </rPh>
    <phoneticPr fontId="7"/>
  </si>
  <si>
    <t>2025/02/06-15:38</t>
    <phoneticPr fontId="7"/>
  </si>
  <si>
    <t>変数設定の誤りを修正、参照するセルを修正</t>
    <rPh sb="0" eb="2">
      <t>ヘンスウ</t>
    </rPh>
    <rPh sb="2" eb="4">
      <t>セッテイ</t>
    </rPh>
    <rPh sb="5" eb="6">
      <t>アヤマ</t>
    </rPh>
    <rPh sb="8" eb="10">
      <t>シュウセイ</t>
    </rPh>
    <rPh sb="11" eb="13">
      <t>サンショウ</t>
    </rPh>
    <rPh sb="18" eb="20">
      <t>シュウセイ</t>
    </rPh>
    <phoneticPr fontId="7"/>
  </si>
  <si>
    <t>2025/02/06-16:12</t>
  </si>
  <si>
    <t>［バグ］test_iProケアパック登録シート2024.9.1..xlsx　の機器明細シートからの転記に空白行がまじる</t>
    <rPh sb="39" eb="43">
      <t>キキメイサイ</t>
    </rPh>
    <rPh sb="49" eb="51">
      <t>テンキ</t>
    </rPh>
    <rPh sb="52" eb="55">
      <t>クウハクギョウ</t>
    </rPh>
    <phoneticPr fontId="7"/>
  </si>
  <si>
    <t>2025/02/06-16:13</t>
    <phoneticPr fontId="7"/>
  </si>
  <si>
    <t>2025/02/06-16:52</t>
    <phoneticPr fontId="7"/>
  </si>
  <si>
    <r>
      <t xml:space="preserve">→単体で転記した場合は正常に動作
</t>
    </r>
    <r>
      <rPr>
        <sz val="10"/>
        <color rgb="FFFF0000"/>
        <rFont val="BIZ UDPゴシック"/>
        <family val="3"/>
        <charset val="128"/>
      </rPr>
      <t>→次の書類に不備があると、その場所によっては空白列が生成されて、下にフィルするマクロで対象機器などの列に謎の空白ができる？？</t>
    </r>
    <rPh sb="1" eb="3">
      <t>タンタイ</t>
    </rPh>
    <rPh sb="4" eb="6">
      <t>テンキ</t>
    </rPh>
    <rPh sb="8" eb="10">
      <t>バアイ</t>
    </rPh>
    <rPh sb="11" eb="13">
      <t>セイジョウ</t>
    </rPh>
    <rPh sb="14" eb="16">
      <t>ドウサ</t>
    </rPh>
    <rPh sb="18" eb="19">
      <t>ツギ</t>
    </rPh>
    <rPh sb="20" eb="22">
      <t>ショルイ</t>
    </rPh>
    <rPh sb="23" eb="25">
      <t>フビ</t>
    </rPh>
    <rPh sb="32" eb="34">
      <t>バショ</t>
    </rPh>
    <rPh sb="39" eb="41">
      <t>クウハク</t>
    </rPh>
    <rPh sb="41" eb="42">
      <t>レツ</t>
    </rPh>
    <rPh sb="43" eb="45">
      <t>セイセイ</t>
    </rPh>
    <rPh sb="49" eb="50">
      <t>シタ</t>
    </rPh>
    <rPh sb="60" eb="62">
      <t>タイショウ</t>
    </rPh>
    <rPh sb="62" eb="64">
      <t>キキ</t>
    </rPh>
    <rPh sb="67" eb="68">
      <t>レツ</t>
    </rPh>
    <rPh sb="69" eb="70">
      <t>ナゾ</t>
    </rPh>
    <rPh sb="71" eb="73">
      <t>クウハク</t>
    </rPh>
    <phoneticPr fontId="7"/>
  </si>
  <si>
    <t>b1.3.12</t>
  </si>
  <si>
    <t>不備がある書類（マクロでエラーを出すような書類）は、処理がなかったことにして、未処理フォルダに移動</t>
    <rPh sb="0" eb="2">
      <t>フビ</t>
    </rPh>
    <rPh sb="5" eb="7">
      <t>ショルイ</t>
    </rPh>
    <rPh sb="16" eb="17">
      <t>ダ</t>
    </rPh>
    <rPh sb="21" eb="23">
      <t>ショルイ</t>
    </rPh>
    <rPh sb="26" eb="28">
      <t>ショリ</t>
    </rPh>
    <rPh sb="39" eb="42">
      <t>ミショリ</t>
    </rPh>
    <rPh sb="47" eb="49">
      <t>イドウ</t>
    </rPh>
    <phoneticPr fontId="7"/>
  </si>
  <si>
    <t>2025/02/06-17:19</t>
    <phoneticPr fontId="7"/>
  </si>
  <si>
    <t>価格表を取り込むマクロを改修
・関数を代入して「代替品交換機種」かどうか判定
・関数を代入して、各登録シートごとの合計金額を集計
・集計金額について、余分な行の表示を白字に変更</t>
    <rPh sb="0" eb="3">
      <t>カカクヒョウ</t>
    </rPh>
    <rPh sb="4" eb="5">
      <t>ト</t>
    </rPh>
    <rPh sb="6" eb="7">
      <t>コ</t>
    </rPh>
    <rPh sb="12" eb="14">
      <t>カイシュウ</t>
    </rPh>
    <rPh sb="16" eb="18">
      <t>カンスウ</t>
    </rPh>
    <rPh sb="19" eb="21">
      <t>ダイニュウ</t>
    </rPh>
    <rPh sb="24" eb="31">
      <t>ダイタイヒンコウカンキシュ</t>
    </rPh>
    <rPh sb="36" eb="38">
      <t>ハンテイ</t>
    </rPh>
    <rPh sb="40" eb="42">
      <t>カンスウ</t>
    </rPh>
    <rPh sb="43" eb="45">
      <t>ダイニュウ</t>
    </rPh>
    <rPh sb="48" eb="49">
      <t>カク</t>
    </rPh>
    <rPh sb="49" eb="51">
      <t>トウロク</t>
    </rPh>
    <rPh sb="57" eb="59">
      <t>ゴウケイ</t>
    </rPh>
    <rPh sb="59" eb="61">
      <t>キンガク</t>
    </rPh>
    <rPh sb="62" eb="64">
      <t>シュウケイ</t>
    </rPh>
    <rPh sb="66" eb="68">
      <t>シュウケイ</t>
    </rPh>
    <rPh sb="68" eb="70">
      <t>キンガク</t>
    </rPh>
    <rPh sb="75" eb="77">
      <t>ヨブン</t>
    </rPh>
    <rPh sb="78" eb="79">
      <t>ギョウ</t>
    </rPh>
    <rPh sb="80" eb="82">
      <t>ヒョウジ</t>
    </rPh>
    <rPh sb="83" eb="84">
      <t>シロ</t>
    </rPh>
    <rPh sb="84" eb="85">
      <t>ジ</t>
    </rPh>
    <rPh sb="86" eb="88">
      <t>ヘンコウ</t>
    </rPh>
    <phoneticPr fontId="7"/>
  </si>
  <si>
    <t>2025/02/06-17:58</t>
    <phoneticPr fontId="7"/>
  </si>
  <si>
    <t>V1.0</t>
    <phoneticPr fontId="7"/>
  </si>
  <si>
    <t>初版</t>
    <rPh sb="0" eb="2">
      <t>ショハン</t>
    </rPh>
    <phoneticPr fontId="7"/>
  </si>
  <si>
    <t>2025/02/06-18:01</t>
  </si>
  <si>
    <t xml:space="preserve"> </t>
    <phoneticPr fontId="7"/>
  </si>
  <si>
    <t>ＦＳ総括部</t>
  </si>
  <si>
    <t>年</t>
  </si>
  <si>
    <t>V2.0</t>
    <phoneticPr fontId="7"/>
  </si>
  <si>
    <t>V2.1</t>
  </si>
  <si>
    <t>月報用の添付ファイルを作成する機能を追加
月報用のメールを出力する機能を追加</t>
    <rPh sb="0" eb="2">
      <t>ゲッポウ</t>
    </rPh>
    <rPh sb="2" eb="3">
      <t>ヨウ</t>
    </rPh>
    <rPh sb="4" eb="6">
      <t>テンプ</t>
    </rPh>
    <rPh sb="11" eb="13">
      <t>サクセイ</t>
    </rPh>
    <rPh sb="15" eb="17">
      <t>キノウ</t>
    </rPh>
    <rPh sb="18" eb="20">
      <t>ツイカ</t>
    </rPh>
    <rPh sb="21" eb="23">
      <t>ゲッポウ</t>
    </rPh>
    <rPh sb="23" eb="24">
      <t>ヨウ</t>
    </rPh>
    <rPh sb="29" eb="31">
      <t>シュツリョク</t>
    </rPh>
    <rPh sb="33" eb="35">
      <t>キノウ</t>
    </rPh>
    <rPh sb="36" eb="38">
      <t>ツイカ</t>
    </rPh>
    <phoneticPr fontId="7"/>
  </si>
  <si>
    <t>2025/03/14-10:03</t>
  </si>
  <si>
    <t>バグフィックス</t>
    <phoneticPr fontId="7"/>
  </si>
  <si>
    <t>～</t>
  </si>
  <si>
    <t>東京都</t>
  </si>
  <si>
    <t>V3.0</t>
    <phoneticPr fontId="7"/>
  </si>
  <si>
    <t>② [月報] 作成～送付</t>
    <rPh sb="3" eb="5">
      <t>ゲッポウ</t>
    </rPh>
    <rPh sb="7" eb="9">
      <t>サクセイ</t>
    </rPh>
    <rPh sb="10" eb="12">
      <t>ソウフ</t>
    </rPh>
    <phoneticPr fontId="7"/>
  </si>
  <si>
    <t>PDF_OCRツールができ次第開発着手　※開発保留</t>
    <rPh sb="13" eb="15">
      <t>シダイ</t>
    </rPh>
    <rPh sb="15" eb="17">
      <t>カイハツ</t>
    </rPh>
    <rPh sb="17" eb="19">
      <t>チャクシュ</t>
    </rPh>
    <rPh sb="21" eb="23">
      <t>カイハツ</t>
    </rPh>
    <rPh sb="23" eb="25">
      <t>ホリュウ</t>
    </rPh>
    <phoneticPr fontId="7"/>
  </si>
  <si>
    <t>点検連絡票を更新</t>
    <rPh sb="0" eb="2">
      <t>テンケン</t>
    </rPh>
    <rPh sb="2" eb="5">
      <t>レンラクヒョウ</t>
    </rPh>
    <rPh sb="6" eb="8">
      <t>コウシン</t>
    </rPh>
    <phoneticPr fontId="7"/>
  </si>
  <si>
    <t>登録番号をキーに各点検連絡票を更新</t>
    <rPh sb="0" eb="2">
      <t>トウロク</t>
    </rPh>
    <rPh sb="2" eb="4">
      <t>バンゴウ</t>
    </rPh>
    <rPh sb="8" eb="9">
      <t>カク</t>
    </rPh>
    <rPh sb="9" eb="14">
      <t>テンケンレンラクヒョウ</t>
    </rPh>
    <rPh sb="15" eb="17">
      <t>コウシン</t>
    </rPh>
    <phoneticPr fontId="7"/>
  </si>
  <si>
    <t>点検連絡票用メールを出力（１２通）</t>
    <rPh sb="0" eb="5">
      <t>テンケンレンラクヒョウ</t>
    </rPh>
    <rPh sb="5" eb="6">
      <t>ヨウ</t>
    </rPh>
    <rPh sb="10" eb="12">
      <t>シュツリョク</t>
    </rPh>
    <rPh sb="15" eb="16">
      <t>ツウ</t>
    </rPh>
    <phoneticPr fontId="7"/>
  </si>
  <si>
    <t>点検連絡票のメール作成ツール</t>
    <rPh sb="0" eb="4">
      <t>テンケンレンラク</t>
    </rPh>
    <rPh sb="4" eb="5">
      <t>ヒョウ</t>
    </rPh>
    <rPh sb="9" eb="11">
      <t>サクセイ</t>
    </rPh>
    <phoneticPr fontId="7"/>
  </si>
  <si>
    <t>※現在調整中</t>
    <rPh sb="1" eb="3">
      <t>ゲンザイ</t>
    </rPh>
    <rPh sb="3" eb="6">
      <t>チョウセイチュウ</t>
    </rPh>
    <phoneticPr fontId="7"/>
  </si>
  <si>
    <t>eng_carepack@ml.jp.panasonic.com</t>
    <phoneticPr fontId="7"/>
  </si>
  <si>
    <t>="【i-Proケアパック】アイプロケアパック契約状況をお知らせ(" &amp; TTEXT(EOMONTH(TODAY(), -1), "yyyy年mm月dd日")") &amp; "現在)・定期消耗品交換対応のお願い"</t>
    <phoneticPr fontId="7"/>
  </si>
  <si>
    <t>←マクロで自動生成するので空白でOK</t>
    <rPh sb="5" eb="7">
      <t>ジドウ</t>
    </rPh>
    <rPh sb="7" eb="9">
      <t>セイセイ</t>
    </rPh>
    <rPh sb="13" eb="15">
      <t>クウハク</t>
    </rPh>
    <phoneticPr fontId="7"/>
  </si>
  <si>
    <t xml:space="preserve">お疲れ様です。
ケアパック担当　渡邊です。
</t>
    <phoneticPr fontId="7"/>
  </si>
  <si>
    <t>=TEXT(EOMONTH(TODAY(), -1), "yyyy年mm月dd日") &amp; "でのアイプロケアパック契約状況をお知らせ致します。"</t>
    <phoneticPr fontId="7"/>
  </si>
  <si>
    <t xml:space="preserve">
ご確認よろしくお願い致します。
また、AP列の「消耗品連絡実施月」をご確認頂き
連絡実施月を過ぎ未対応のお客様へ対してはご連絡をして頂き
消耗品交換の対応をよろしくお願い致します。
連絡をして頂きお客様より対応不要回答を頂いた場合は対応不要です。
※SIGMA業務依頼部署、担当者等の変更があった場合は当方へご連絡お願い致します。
ご不明な点があれば登録受付窓口までご連絡下さい。
よろしくお願い致します。
※本メールについての質問、返信は登録受付窓口アドレスへお願い致します。</t>
    <phoneticPr fontId="7"/>
  </si>
  <si>
    <t>******************************************************************************
　パナソニックコネクト株式会社　現場ソリューションカンパニー
　サービスプラットフォーム本部 オペレーション総括部
　ケアパック受付窓口
　Mail：eng_carepack@ml.jp.panasonic.com
******************************************************************************</t>
    <phoneticPr fontId="7"/>
  </si>
  <si>
    <t>連絡先</t>
    <rPh sb="0" eb="2">
      <t>レンラク</t>
    </rPh>
    <rPh sb="2" eb="3">
      <t>サキ</t>
    </rPh>
    <phoneticPr fontId="7"/>
  </si>
  <si>
    <t>※ヘッダー、責任者、担当者を結合してメール冒頭部を作成</t>
    <rPh sb="6" eb="9">
      <t>セキニンシャ</t>
    </rPh>
    <rPh sb="10" eb="13">
      <t>タントウシャ</t>
    </rPh>
    <rPh sb="14" eb="16">
      <t>ケツゴウ</t>
    </rPh>
    <rPh sb="21" eb="23">
      <t>ボウトウ</t>
    </rPh>
    <rPh sb="23" eb="24">
      <t>ブ</t>
    </rPh>
    <rPh sb="25" eb="27">
      <t>サクセイ</t>
    </rPh>
    <phoneticPr fontId="7"/>
  </si>
  <si>
    <t>No.</t>
    <phoneticPr fontId="7"/>
  </si>
  <si>
    <t>部署名</t>
    <rPh sb="0" eb="3">
      <t>ブショメイ</t>
    </rPh>
    <phoneticPr fontId="7"/>
  </si>
  <si>
    <t>ファイル名</t>
    <rPh sb="4" eb="5">
      <t>メイ</t>
    </rPh>
    <phoneticPr fontId="7"/>
  </si>
  <si>
    <t>Cc</t>
    <phoneticPr fontId="7"/>
  </si>
  <si>
    <t>ヘッダー</t>
    <phoneticPr fontId="7"/>
  </si>
  <si>
    <t>責任者</t>
    <rPh sb="0" eb="3">
      <t>セキニンシャ</t>
    </rPh>
    <phoneticPr fontId="7"/>
  </si>
  <si>
    <t>担当者</t>
    <rPh sb="0" eb="3">
      <t>タントウシャ</t>
    </rPh>
    <phoneticPr fontId="7"/>
  </si>
  <si>
    <t>北海道サポート部　FS3課</t>
    <phoneticPr fontId="7"/>
  </si>
  <si>
    <t>橋本マネージャー</t>
    <phoneticPr fontId="7"/>
  </si>
  <si>
    <t>西村さん</t>
    <phoneticPr fontId="7"/>
  </si>
  <si>
    <t>東日本サポート部　FS3課</t>
    <phoneticPr fontId="7"/>
  </si>
  <si>
    <t>奥村マネージャー</t>
    <phoneticPr fontId="7"/>
  </si>
  <si>
    <t>菊地さん　</t>
    <phoneticPr fontId="7"/>
  </si>
  <si>
    <t>03_点検連絡票_東日本サポート部_FS1課</t>
    <phoneticPr fontId="7"/>
  </si>
  <si>
    <t>東日本サポート部　FS1課</t>
    <phoneticPr fontId="7"/>
  </si>
  <si>
    <t>大谷マネージャー</t>
    <phoneticPr fontId="7"/>
  </si>
  <si>
    <t>鈴木さん</t>
    <phoneticPr fontId="7"/>
  </si>
  <si>
    <t>04_点検連絡票_東日本サポート部_FS1課（新潟）</t>
    <phoneticPr fontId="7"/>
  </si>
  <si>
    <t>島田さん</t>
    <rPh sb="0" eb="2">
      <t>シマダ</t>
    </rPh>
    <phoneticPr fontId="7"/>
  </si>
  <si>
    <t>首都圏サポート２部FS1課</t>
    <phoneticPr fontId="7"/>
  </si>
  <si>
    <t xml:space="preserve">木邨マネージャー
大橋アシスタントマネージャー </t>
    <phoneticPr fontId="7"/>
  </si>
  <si>
    <t>上原さん</t>
    <phoneticPr fontId="7"/>
  </si>
  <si>
    <t>中日本サポート部　ＦＳ２課</t>
    <phoneticPr fontId="7"/>
  </si>
  <si>
    <t>鱒渕マネージャー
寺西アシスタントマネージャー</t>
    <phoneticPr fontId="7"/>
  </si>
  <si>
    <t>池田さん　長尾さん</t>
    <phoneticPr fontId="7"/>
  </si>
  <si>
    <t>Masubuchi Yukio (鱒渕 幸雄) &lt;masubuchi.yukio@jp.panasonic.com&gt;; Yamagishi Ryosuke (山岸 亮介) &lt;yamagishi.ryosuke@jp.panasonic.com&gt;; Kawasaki Satoshi (川崎 智司) &lt;kawasaki.satoshi@jp.panasonic.com&gt;</t>
    <phoneticPr fontId="7"/>
  </si>
  <si>
    <t>鱒渕マネージャー</t>
    <phoneticPr fontId="7"/>
  </si>
  <si>
    <t>山岸さん　川崎さん</t>
    <phoneticPr fontId="7"/>
  </si>
  <si>
    <t>関西サポート１部　ＦＳ２課</t>
    <phoneticPr fontId="7"/>
  </si>
  <si>
    <t>Wada Yoshifumi (和田 吉史) &lt;wada.yoshifumi@jp.panasonic.com&gt;; Nishiyama Tsutomu (西山 努) &lt;nishiyama.tsutomu@jp.panasonic.com&gt;; Nobeyama Akiko (延山 亜紀子) &lt;nobeyama.akiko@kk.jp.panasonic.com&gt;</t>
    <phoneticPr fontId="7"/>
  </si>
  <si>
    <t>和田マネージャー</t>
    <phoneticPr fontId="7"/>
  </si>
  <si>
    <t>西山さん　延山さん</t>
    <phoneticPr fontId="7"/>
  </si>
  <si>
    <t>中四国サポート部　ＦＳ１課</t>
    <phoneticPr fontId="7"/>
  </si>
  <si>
    <t>09_点検連絡票_中四国サポート部_FS2課</t>
    <phoneticPr fontId="7"/>
  </si>
  <si>
    <t>Kawamura Yohzoh (川村 洋象) &lt;kawamura.yohzoh@jp.panasonic.com&gt;; Okamura Sadao (岡村 貞生) &lt;okamura.sadao@jp.panasonic.com&gt;</t>
    <phoneticPr fontId="7"/>
  </si>
  <si>
    <t>川村マネージャー</t>
    <phoneticPr fontId="7"/>
  </si>
  <si>
    <t>岡村さん</t>
    <phoneticPr fontId="7"/>
  </si>
  <si>
    <t>Yagi Manabu (八木 学) &lt;yagi.manabu@jp.panasonic.com&gt;; Takagi Keisuke (高木 圭介) &lt;takagi.keisuke@jp.panasonic.com&gt;</t>
    <phoneticPr fontId="7"/>
  </si>
  <si>
    <t>中四国サポート部　ＦＳ２課</t>
    <phoneticPr fontId="7"/>
  </si>
  <si>
    <t>八木マネージャー</t>
    <phoneticPr fontId="7"/>
  </si>
  <si>
    <t>高木さん</t>
    <phoneticPr fontId="7"/>
  </si>
  <si>
    <t>中四国サポート部　ＦＳ３課</t>
    <phoneticPr fontId="7"/>
  </si>
  <si>
    <t>hayashi.keiji-hk@jp.panasonic.com ; saigou.sachio@jp.panasonic.com ; yano.riku@jp.panasonic.com</t>
    <phoneticPr fontId="7"/>
  </si>
  <si>
    <t>林マネージャー</t>
    <rPh sb="0" eb="1">
      <t>ハヤシ</t>
    </rPh>
    <phoneticPr fontId="7"/>
  </si>
  <si>
    <t>斉郷さん、矢野さん</t>
    <rPh sb="0" eb="2">
      <t>サイゴウ</t>
    </rPh>
    <rPh sb="5" eb="7">
      <t>ヤノ</t>
    </rPh>
    <phoneticPr fontId="7"/>
  </si>
  <si>
    <t>Shimanaga Katsuki (島永 勝喜) &lt;shimanaga.katuki@jp.panasonic.com&gt;; Fujiwara Kumi (藤原 クミ) &lt;fujiwara.kumi@jp.panasonic.com&gt;</t>
    <phoneticPr fontId="7"/>
  </si>
  <si>
    <t>九州サポート部　ＦＳ１課</t>
    <phoneticPr fontId="7"/>
  </si>
  <si>
    <t>島永マネージャー</t>
    <phoneticPr fontId="7"/>
  </si>
  <si>
    <t>藤原さん</t>
    <phoneticPr fontId="7"/>
  </si>
  <si>
    <t>部署マスター</t>
    <rPh sb="0" eb="2">
      <t>ブショ</t>
    </rPh>
    <phoneticPr fontId="7"/>
  </si>
  <si>
    <t>sourcePath</t>
    <phoneticPr fontId="7"/>
  </si>
  <si>
    <t>地域</t>
    <rPh sb="0" eb="2">
      <t>チイキ</t>
    </rPh>
    <phoneticPr fontId="7"/>
  </si>
  <si>
    <t>都道府県</t>
    <rPh sb="0" eb="2">
      <t>トドウ</t>
    </rPh>
    <rPh sb="2" eb="4">
      <t>フケン</t>
    </rPh>
    <phoneticPr fontId="7"/>
  </si>
  <si>
    <t>※手動で選択　sheet＝”オンサイト”</t>
    <rPh sb="1" eb="3">
      <t>シュドウ</t>
    </rPh>
    <rPh sb="4" eb="6">
      <t>センタク</t>
    </rPh>
    <phoneticPr fontId="7"/>
  </si>
  <si>
    <t>北海道</t>
    <rPh sb="0" eb="3">
      <t>ホッカイドウ</t>
    </rPh>
    <phoneticPr fontId="7"/>
  </si>
  <si>
    <t>北海道</t>
  </si>
  <si>
    <t>destinationPath</t>
    <phoneticPr fontId="7"/>
  </si>
  <si>
    <t>東北</t>
    <rPh sb="0" eb="2">
      <t>トウホク</t>
    </rPh>
    <phoneticPr fontId="7"/>
  </si>
  <si>
    <t>青森県</t>
    <rPh sb="0" eb="3">
      <t>アオモリケン</t>
    </rPh>
    <phoneticPr fontId="27"/>
  </si>
  <si>
    <t>(test_environment)</t>
    <phoneticPr fontId="7"/>
  </si>
  <si>
    <t>秋田県</t>
    <rPh sb="0" eb="3">
      <t>アキタケン</t>
    </rPh>
    <phoneticPr fontId="27"/>
  </si>
  <si>
    <t>C:\Users\&lt;userneme&gt;\Documents\VSCode\VBA（Excel）\202501_iProケアパック\i-Proケアパック地域別表</t>
    <phoneticPr fontId="7"/>
  </si>
  <si>
    <t>岩手県</t>
    <rPh sb="0" eb="3">
      <t>イワテケン</t>
    </rPh>
    <phoneticPr fontId="27"/>
  </si>
  <si>
    <t>(Production_Environment)</t>
    <phoneticPr fontId="7"/>
  </si>
  <si>
    <t>山形県</t>
    <rPh sb="0" eb="3">
      <t>ヤマガタケン</t>
    </rPh>
    <phoneticPr fontId="27"/>
  </si>
  <si>
    <t>C:\Users\&lt;userneme&gt;\Box\003_i-Proケアパック\02_管理表\i-Proケアパック地域別表</t>
    <phoneticPr fontId="7"/>
  </si>
  <si>
    <t>宮城県</t>
    <rPh sb="0" eb="3">
      <t>ミヤギケン</t>
    </rPh>
    <phoneticPr fontId="27"/>
  </si>
  <si>
    <t>福島県</t>
    <rPh sb="0" eb="3">
      <t>フクシマケン</t>
    </rPh>
    <phoneticPr fontId="27"/>
  </si>
  <si>
    <t>関越</t>
    <rPh sb="0" eb="2">
      <t>カンエツ</t>
    </rPh>
    <phoneticPr fontId="7"/>
  </si>
  <si>
    <t>埼玉県</t>
    <rPh sb="0" eb="3">
      <t>サイタマケン</t>
    </rPh>
    <phoneticPr fontId="27"/>
  </si>
  <si>
    <t>Array{登録番号,都道府県}</t>
    <rPh sb="6" eb="8">
      <t>トウロク</t>
    </rPh>
    <rPh sb="8" eb="10">
      <t>バンゴウ</t>
    </rPh>
    <rPh sb="11" eb="15">
      <t>トドウフケン</t>
    </rPh>
    <phoneticPr fontId="7"/>
  </si>
  <si>
    <t>栃木県</t>
    <rPh sb="0" eb="3">
      <t>トチギケン</t>
    </rPh>
    <phoneticPr fontId="27"/>
  </si>
  <si>
    <t>茨城県</t>
    <rPh sb="0" eb="2">
      <t>イバラキ</t>
    </rPh>
    <rPh sb="2" eb="3">
      <t>ケン</t>
    </rPh>
    <phoneticPr fontId="27"/>
  </si>
  <si>
    <t>群馬県</t>
    <rPh sb="0" eb="2">
      <t>グンマ</t>
    </rPh>
    <rPh sb="2" eb="3">
      <t>ケン</t>
    </rPh>
    <phoneticPr fontId="27"/>
  </si>
  <si>
    <t>新潟県</t>
    <rPh sb="0" eb="3">
      <t>ニイガタケン</t>
    </rPh>
    <phoneticPr fontId="27"/>
  </si>
  <si>
    <t>首都圏</t>
    <rPh sb="0" eb="3">
      <t>シュトケン</t>
    </rPh>
    <phoneticPr fontId="7"/>
  </si>
  <si>
    <t>東京都</t>
    <rPh sb="0" eb="3">
      <t>トウキョウト</t>
    </rPh>
    <phoneticPr fontId="27"/>
  </si>
  <si>
    <t>山梨県</t>
    <rPh sb="0" eb="3">
      <t>ヤマナシケン</t>
    </rPh>
    <phoneticPr fontId="27"/>
  </si>
  <si>
    <t>千葉県</t>
    <rPh sb="0" eb="3">
      <t>チバケン</t>
    </rPh>
    <phoneticPr fontId="27"/>
  </si>
  <si>
    <t>中部</t>
    <rPh sb="0" eb="2">
      <t>チュウブ</t>
    </rPh>
    <phoneticPr fontId="7"/>
  </si>
  <si>
    <t>静岡県</t>
    <rPh sb="0" eb="2">
      <t>シズオカ</t>
    </rPh>
    <rPh sb="2" eb="3">
      <t>ケン</t>
    </rPh>
    <phoneticPr fontId="27"/>
  </si>
  <si>
    <t>長野県</t>
    <rPh sb="0" eb="2">
      <t>ナガノ</t>
    </rPh>
    <rPh sb="2" eb="3">
      <t>ケン</t>
    </rPh>
    <phoneticPr fontId="27"/>
  </si>
  <si>
    <t>岐阜県</t>
    <rPh sb="0" eb="3">
      <t>ギフケン</t>
    </rPh>
    <phoneticPr fontId="27"/>
  </si>
  <si>
    <t>愛知県</t>
    <rPh sb="0" eb="3">
      <t>アイチケン</t>
    </rPh>
    <phoneticPr fontId="27"/>
  </si>
  <si>
    <t>三重県</t>
    <rPh sb="0" eb="3">
      <t>ミエケン</t>
    </rPh>
    <phoneticPr fontId="27"/>
  </si>
  <si>
    <t>北陸</t>
    <rPh sb="0" eb="2">
      <t>ホクリク</t>
    </rPh>
    <phoneticPr fontId="7"/>
  </si>
  <si>
    <t>富山県</t>
    <rPh sb="0" eb="3">
      <t>トヤマケン</t>
    </rPh>
    <phoneticPr fontId="27"/>
  </si>
  <si>
    <t>石川県</t>
    <rPh sb="0" eb="2">
      <t>イシカワ</t>
    </rPh>
    <rPh sb="2" eb="3">
      <t>ケン</t>
    </rPh>
    <phoneticPr fontId="27"/>
  </si>
  <si>
    <t>福井県</t>
    <rPh sb="0" eb="3">
      <t>フクイケン</t>
    </rPh>
    <phoneticPr fontId="27"/>
  </si>
  <si>
    <t>関西</t>
    <rPh sb="0" eb="2">
      <t>カンサイ</t>
    </rPh>
    <phoneticPr fontId="7"/>
  </si>
  <si>
    <t>滋賀県</t>
    <rPh sb="0" eb="3">
      <t>シガケン</t>
    </rPh>
    <phoneticPr fontId="27"/>
  </si>
  <si>
    <t>京都府</t>
    <rPh sb="0" eb="3">
      <t>キョウトフ</t>
    </rPh>
    <phoneticPr fontId="27"/>
  </si>
  <si>
    <t>大阪府</t>
    <rPh sb="0" eb="3">
      <t>オオサカフ</t>
    </rPh>
    <phoneticPr fontId="27"/>
  </si>
  <si>
    <t>兵庫県</t>
    <rPh sb="0" eb="3">
      <t>ヒョウゴケン</t>
    </rPh>
    <phoneticPr fontId="27"/>
  </si>
  <si>
    <t>奈良県</t>
    <rPh sb="0" eb="3">
      <t>ナラケン</t>
    </rPh>
    <phoneticPr fontId="27"/>
  </si>
  <si>
    <t>和歌山県</t>
    <rPh sb="0" eb="4">
      <t>ワカヤマケン</t>
    </rPh>
    <phoneticPr fontId="27"/>
  </si>
  <si>
    <t>中国</t>
    <rPh sb="0" eb="2">
      <t>チュウゴク</t>
    </rPh>
    <phoneticPr fontId="7"/>
  </si>
  <si>
    <t>岡山県</t>
    <rPh sb="0" eb="2">
      <t>オカヤマ</t>
    </rPh>
    <rPh sb="2" eb="3">
      <t>ケン</t>
    </rPh>
    <phoneticPr fontId="27"/>
  </si>
  <si>
    <t>鳥取県</t>
    <rPh sb="0" eb="3">
      <t>トットリケン</t>
    </rPh>
    <phoneticPr fontId="27"/>
  </si>
  <si>
    <t>広島県</t>
    <rPh sb="0" eb="2">
      <t>ヒロシマ</t>
    </rPh>
    <rPh sb="2" eb="3">
      <t>ケン</t>
    </rPh>
    <phoneticPr fontId="27"/>
  </si>
  <si>
    <t>島根県</t>
    <phoneticPr fontId="27"/>
  </si>
  <si>
    <t>山口県</t>
    <rPh sb="0" eb="2">
      <t>ヤマグチ</t>
    </rPh>
    <rPh sb="2" eb="3">
      <t>ケン</t>
    </rPh>
    <phoneticPr fontId="27"/>
  </si>
  <si>
    <t>四国</t>
    <rPh sb="0" eb="2">
      <t>シコク</t>
    </rPh>
    <phoneticPr fontId="7"/>
  </si>
  <si>
    <t>香川県</t>
    <rPh sb="0" eb="3">
      <t>カガワケン</t>
    </rPh>
    <phoneticPr fontId="27"/>
  </si>
  <si>
    <t>徳島県</t>
    <rPh sb="0" eb="3">
      <t>トクシマケン</t>
    </rPh>
    <phoneticPr fontId="27"/>
  </si>
  <si>
    <t>愛媛県</t>
    <rPh sb="0" eb="3">
      <t>エヒメケン</t>
    </rPh>
    <phoneticPr fontId="27"/>
  </si>
  <si>
    <t>高知県</t>
    <rPh sb="0" eb="3">
      <t>コウチケン</t>
    </rPh>
    <phoneticPr fontId="27"/>
  </si>
  <si>
    <t>九州</t>
    <rPh sb="0" eb="2">
      <t>キュウシュウ</t>
    </rPh>
    <phoneticPr fontId="7"/>
  </si>
  <si>
    <t>福岡県</t>
    <rPh sb="0" eb="3">
      <t>フクオカケン</t>
    </rPh>
    <phoneticPr fontId="27"/>
  </si>
  <si>
    <t>佐賀県</t>
    <rPh sb="0" eb="3">
      <t>サガケン</t>
    </rPh>
    <phoneticPr fontId="27"/>
  </si>
  <si>
    <t>長崎県</t>
    <rPh sb="0" eb="3">
      <t>ナガサキケン</t>
    </rPh>
    <phoneticPr fontId="27"/>
  </si>
  <si>
    <t>大分県</t>
    <rPh sb="0" eb="3">
      <t>オオイタケン</t>
    </rPh>
    <phoneticPr fontId="27"/>
  </si>
  <si>
    <t>熊本県</t>
    <rPh sb="0" eb="3">
      <t>クマモトケン</t>
    </rPh>
    <phoneticPr fontId="27"/>
  </si>
  <si>
    <t>宮崎県</t>
    <rPh sb="0" eb="3">
      <t>ミヤザキケン</t>
    </rPh>
    <phoneticPr fontId="27"/>
  </si>
  <si>
    <t>鹿児島県</t>
    <rPh sb="0" eb="4">
      <t>カゴシマケン</t>
    </rPh>
    <phoneticPr fontId="27"/>
  </si>
  <si>
    <t>日付（mmdd)</t>
    <rPh sb="0" eb="2">
      <t>ヒヅケ</t>
    </rPh>
    <phoneticPr fontId="7"/>
  </si>
  <si>
    <t>転記元</t>
    <rPh sb="0" eb="3">
      <t>テンキモト</t>
    </rPh>
    <phoneticPr fontId="7"/>
  </si>
  <si>
    <t>点検連絡票の末尾（mmdd)
VBAのユーザーフォームが参照</t>
    <rPh sb="0" eb="5">
      <t>テンケンレンラクヒョウ</t>
    </rPh>
    <rPh sb="6" eb="8">
      <t>マツビ</t>
    </rPh>
    <rPh sb="28" eb="30">
      <t>サンショウ</t>
    </rPh>
    <phoneticPr fontId="7"/>
  </si>
  <si>
    <t>手動で選択</t>
    <rPh sb="0" eb="2">
      <t>シュドウ</t>
    </rPh>
    <rPh sb="3" eb="5">
      <t>センタク</t>
    </rPh>
    <phoneticPr fontId="7"/>
  </si>
  <si>
    <t>点検連絡票の保存先</t>
    <rPh sb="0" eb="5">
      <t>テンケンレンラクヒョウ</t>
    </rPh>
    <rPh sb="6" eb="9">
      <t>ホゾンサキ</t>
    </rPh>
    <phoneticPr fontId="7"/>
  </si>
  <si>
    <t>下記リンクを参照して処理</t>
    <rPh sb="0" eb="2">
      <t>カキ</t>
    </rPh>
    <rPh sb="6" eb="8">
      <t>サンショウ</t>
    </rPh>
    <rPh sb="10" eb="12">
      <t>ショリ</t>
    </rPh>
    <phoneticPr fontId="7"/>
  </si>
  <si>
    <t>C:\Users\7075685\Documents\Project\2024006_iProケアパック\04_点検連絡票\i-Proケアパック地域別表</t>
    <phoneticPr fontId="7"/>
  </si>
  <si>
    <t>■ユーザーフォーム</t>
    <phoneticPr fontId="7"/>
  </si>
  <si>
    <t>■Sheet（メニュー）</t>
    <phoneticPr fontId="7"/>
  </si>
  <si>
    <t>③ [点検連絡票] 作成～送付</t>
    <rPh sb="3" eb="5">
      <t>テンケン</t>
    </rPh>
    <rPh sb="5" eb="8">
      <t>レンラクヒョウ</t>
    </rPh>
    <rPh sb="10" eb="12">
      <t>サクセイ</t>
    </rPh>
    <rPh sb="13" eb="15">
      <t>ソウフ</t>
    </rPh>
    <phoneticPr fontId="7"/>
  </si>
  <si>
    <t>処理済</t>
    <rPh sb="0" eb="3">
      <t>ショリスミ</t>
    </rPh>
    <phoneticPr fontId="7"/>
  </si>
  <si>
    <t>処理済の登録番号一覧</t>
    <rPh sb="0" eb="3">
      <t>ショリスミ</t>
    </rPh>
    <rPh sb="4" eb="8">
      <t>トウロクバンゴウ</t>
    </rPh>
    <rPh sb="8" eb="10">
      <t>イチラン</t>
    </rPh>
    <phoneticPr fontId="7"/>
  </si>
  <si>
    <t>設定</t>
    <rPh sb="0" eb="2">
      <t>セッテイ</t>
    </rPh>
    <phoneticPr fontId="7"/>
  </si>
  <si>
    <t>■ディレクトリ関連</t>
    <rPh sb="7" eb="9">
      <t>カンレン</t>
    </rPh>
    <phoneticPr fontId="7"/>
  </si>
  <si>
    <t>■処理記録</t>
    <rPh sb="1" eb="3">
      <t>ショリ</t>
    </rPh>
    <rPh sb="3" eb="5">
      <t>キロク</t>
    </rPh>
    <phoneticPr fontId="7"/>
  </si>
  <si>
    <t>東日本サポート部
FS2課</t>
    <rPh sb="0" eb="1">
      <t>ヒガシ</t>
    </rPh>
    <rPh sb="1" eb="3">
      <t>ニホン</t>
    </rPh>
    <rPh sb="7" eb="8">
      <t>ブ</t>
    </rPh>
    <rPh sb="12" eb="13">
      <t>カ</t>
    </rPh>
    <phoneticPr fontId="1"/>
  </si>
  <si>
    <t>東日本サポート部
FS1課</t>
    <rPh sb="0" eb="1">
      <t>ヒガシ</t>
    </rPh>
    <rPh sb="1" eb="3">
      <t>ニホン</t>
    </rPh>
    <rPh sb="12" eb="13">
      <t>カ</t>
    </rPh>
    <phoneticPr fontId="1"/>
  </si>
  <si>
    <t>首都圏サポート２部
FS1課</t>
    <rPh sb="0" eb="3">
      <t>シュトケン</t>
    </rPh>
    <phoneticPr fontId="1"/>
  </si>
  <si>
    <t>中日本サポート部
FS２課
（中部エリア）</t>
    <rPh sb="15" eb="17">
      <t>チュウブ</t>
    </rPh>
    <phoneticPr fontId="1"/>
  </si>
  <si>
    <t>中日本サポート部
FS２課
（北陸エリア）</t>
    <rPh sb="15" eb="17">
      <t>ホクリク</t>
    </rPh>
    <phoneticPr fontId="1"/>
  </si>
  <si>
    <t>中四国サポート部
FS2課</t>
    <rPh sb="0" eb="1">
      <t>チュウ</t>
    </rPh>
    <rPh sb="1" eb="3">
      <t>シコク</t>
    </rPh>
    <phoneticPr fontId="1"/>
  </si>
  <si>
    <t>九州サポート部
FS1課</t>
    <rPh sb="0" eb="2">
      <t>キュウシュウ</t>
    </rPh>
    <rPh sb="11" eb="12">
      <t>カ</t>
    </rPh>
    <phoneticPr fontId="1"/>
  </si>
  <si>
    <t>関西サポート1部
FS2課</t>
    <rPh sb="0" eb="2">
      <t>カンサイ</t>
    </rPh>
    <rPh sb="7" eb="8">
      <t>ブ</t>
    </rPh>
    <rPh sb="12" eb="13">
      <t>カ</t>
    </rPh>
    <phoneticPr fontId="1"/>
  </si>
  <si>
    <t>北海道サポート部
FS3課</t>
    <phoneticPr fontId="7"/>
  </si>
  <si>
    <t>中四国サポート部
FS1課</t>
    <phoneticPr fontId="7"/>
  </si>
  <si>
    <t>中四国サポート部
FS3課</t>
    <phoneticPr fontId="7"/>
  </si>
  <si>
    <t>東日本サポート部
FS1課
(新潟エリア）</t>
    <rPh sb="0" eb="1">
      <t>ヒガシ</t>
    </rPh>
    <rPh sb="1" eb="3">
      <t>ニホン</t>
    </rPh>
    <rPh sb="12" eb="13">
      <t>カ</t>
    </rPh>
    <rPh sb="15" eb="17">
      <t>ニイガタ</t>
    </rPh>
    <phoneticPr fontId="1"/>
  </si>
  <si>
    <t>02_点検連絡票_東日本サポート部_FS2課</t>
    <phoneticPr fontId="7"/>
  </si>
  <si>
    <t>10_点検連絡票_中四国サポート部_FS1課</t>
    <phoneticPr fontId="7"/>
  </si>
  <si>
    <t>12_点検連絡票_九州サポート部_FS1課</t>
    <phoneticPr fontId="7"/>
  </si>
  <si>
    <t>11_点検連絡票_中四国サポート部_FS3課</t>
    <rPh sb="3" eb="8">
      <t>テンケンレンラクヒョウ</t>
    </rPh>
    <phoneticPr fontId="7"/>
  </si>
  <si>
    <t>・点検連絡票がなかったら、バックアップを作成するモジュールを作成</t>
    <rPh sb="1" eb="5">
      <t>テンケンレンラク</t>
    </rPh>
    <rPh sb="5" eb="6">
      <t>ヒョウ</t>
    </rPh>
    <rPh sb="20" eb="22">
      <t>サクセイ</t>
    </rPh>
    <rPh sb="30" eb="32">
      <t>サクセイ</t>
    </rPh>
    <phoneticPr fontId="7"/>
  </si>
  <si>
    <t>2025/03/19-15:59</t>
    <phoneticPr fontId="7"/>
  </si>
  <si>
    <t>機能を追加
①点検連絡票を更新
②点検連絡票用メール作成</t>
    <rPh sb="0" eb="2">
      <t>キノウ</t>
    </rPh>
    <rPh sb="3" eb="5">
      <t>ツイカ</t>
    </rPh>
    <rPh sb="7" eb="12">
      <t>テンケンレンラクヒョウ</t>
    </rPh>
    <rPh sb="13" eb="15">
      <t>コウシン</t>
    </rPh>
    <rPh sb="17" eb="22">
      <t>テンケンレンラクヒョウ</t>
    </rPh>
    <rPh sb="22" eb="23">
      <t>ヨウ</t>
    </rPh>
    <rPh sb="26" eb="28">
      <t>サクセイ</t>
    </rPh>
    <phoneticPr fontId="7"/>
  </si>
  <si>
    <t>2025/03/19-16:00</t>
    <phoneticPr fontId="7"/>
  </si>
  <si>
    <t>IPA24005</t>
  </si>
  <si>
    <t>IPA24011</t>
  </si>
  <si>
    <t>IPA24001</t>
  </si>
  <si>
    <t>IPA24002</t>
  </si>
  <si>
    <t>IPA24003</t>
  </si>
  <si>
    <t>IPA24004</t>
  </si>
  <si>
    <t>IPA24006</t>
  </si>
  <si>
    <t>IPA24007</t>
  </si>
  <si>
    <t>IPA24008</t>
  </si>
  <si>
    <t>IPA24009</t>
  </si>
  <si>
    <t>神奈川県</t>
    <rPh sb="0" eb="3">
      <t>カナガワ</t>
    </rPh>
    <rPh sb="3" eb="4">
      <t>ケン</t>
    </rPh>
    <phoneticPr fontId="27"/>
  </si>
  <si>
    <t>01_点検連絡票_北海道サポート部_FS3課</t>
    <phoneticPr fontId="7"/>
  </si>
  <si>
    <t>IPA24010</t>
  </si>
  <si>
    <t>IPA24012</t>
  </si>
  <si>
    <t>IPA24013</t>
  </si>
  <si>
    <t>・ファイル名のyyyymmdd部分を更新するモジュールを作成</t>
    <rPh sb="5" eb="6">
      <t>メイ</t>
    </rPh>
    <rPh sb="15" eb="17">
      <t>ブブン</t>
    </rPh>
    <rPh sb="18" eb="20">
      <t>コウシン</t>
    </rPh>
    <rPh sb="28" eb="30">
      <t>サクセイ</t>
    </rPh>
    <phoneticPr fontId="7"/>
  </si>
  <si>
    <t>2025/03/25-13:34</t>
    <phoneticPr fontId="7"/>
  </si>
  <si>
    <t>・点検連絡票を更新するモジュールを作成</t>
    <rPh sb="1" eb="6">
      <t>テンケンレンラクヒョウ</t>
    </rPh>
    <rPh sb="7" eb="9">
      <t>コウシン</t>
    </rPh>
    <rPh sb="17" eb="19">
      <t>サクセイ</t>
    </rPh>
    <phoneticPr fontId="7"/>
  </si>
  <si>
    <t>2025/03/25-13:35</t>
  </si>
  <si>
    <t>・バックアップを作成するモジュールを作成</t>
    <rPh sb="8" eb="10">
      <t>サクセイ</t>
    </rPh>
    <rPh sb="18" eb="20">
      <t>サクセイ</t>
    </rPh>
    <phoneticPr fontId="7"/>
  </si>
  <si>
    <t>V3.1</t>
  </si>
  <si>
    <t>08_点検連絡票_関西サポート１部_FS2課</t>
    <phoneticPr fontId="7"/>
  </si>
  <si>
    <t>07_点検連絡票_中日本サポート部_FS2課（北陸）</t>
    <phoneticPr fontId="7"/>
  </si>
  <si>
    <t>06_点検連絡票_中日本サポート部_FS2課</t>
    <phoneticPr fontId="7"/>
  </si>
  <si>
    <t>05_点検連絡票_首都圏サポート2部_FS1課</t>
    <phoneticPr fontId="7"/>
  </si>
  <si>
    <t>01</t>
    <phoneticPr fontId="7"/>
  </si>
  <si>
    <t>02</t>
  </si>
  <si>
    <t>03</t>
  </si>
  <si>
    <t>04</t>
  </si>
  <si>
    <t>05</t>
  </si>
  <si>
    <t>06</t>
  </si>
  <si>
    <t>07</t>
  </si>
  <si>
    <t>08</t>
  </si>
  <si>
    <t>09</t>
  </si>
  <si>
    <t>10</t>
  </si>
  <si>
    <t>11</t>
  </si>
  <si>
    <t>12</t>
  </si>
  <si>
    <t>hashimoto.masashi2@jp.panasonic.com; nishimura.takuya@jp.panasonic.com;</t>
    <phoneticPr fontId="7"/>
  </si>
  <si>
    <t>Okumura Daiki (奥村 大樹) &lt;okumura.daiki@jp.panasonic.com&gt;; Kikuchi Takahiro (菊地 貴裕) &lt;kikuchi.takahiro001@jp.panasonic.com&gt;;</t>
    <phoneticPr fontId="7"/>
  </si>
  <si>
    <t>Ootani Hiroki (大谷 寛樹) &lt;ootani.hiroki@jp.panasonic.com&gt;; Suzuki Tatsumi (鈴木 竜己) &lt;suzuki.tatsumi@jp.panasonic.com&gt;;</t>
    <phoneticPr fontId="7"/>
  </si>
  <si>
    <t>Ootani Hiroki (大谷 寛樹) &lt;ootani.hiroki@jp.panasonic.com&gt;; Shimada Naoya (島田 直矢) &lt;shimada.naoya-ns@jp.panasonic.com&gt;;</t>
    <phoneticPr fontId="7"/>
  </si>
  <si>
    <t>Kimura Hiroshi (木邨 浩) &lt;kimura.hiroshi002@jp.panasonic.com&gt;; Ohashi Emiko (大橋 恵美子) &lt;oohashi.emiko@jp.panasonic.com&gt;; Uehara Kunihiko (上原 邦彦) &lt;uehara.kunihiko@jp.panasonic.com&gt;;</t>
    <phoneticPr fontId="7"/>
  </si>
  <si>
    <t>Masubuchi Yukio (鱒渕 幸雄) &lt;masubuchi.yukio@jp.panasonic.com&gt;; Teranishi Yoshiaki (寺西 吉昭) &lt;teranishi.yoshiaki@jp.panasonic.com&gt;; IKEDA YUMA (池田 悠馬) &lt;ikeda.yuma@jp.panasonic.com&gt;; Nagao Midori (長尾 緑) &lt;yamauchi.midori001@jp.panasonic.com&gt;</t>
    <phoneticPr fontId="7"/>
  </si>
  <si>
    <t>・メールを自動生成するモジュールを作成</t>
    <rPh sb="5" eb="7">
      <t>ジドウ</t>
    </rPh>
    <rPh sb="7" eb="9">
      <t>セイセイ</t>
    </rPh>
    <rPh sb="17" eb="19">
      <t>サクセイ</t>
    </rPh>
    <phoneticPr fontId="7"/>
  </si>
  <si>
    <t>2025/03/26-10:20</t>
  </si>
  <si>
    <t>PC-PA2407E1215R</t>
  </si>
  <si>
    <t>CreateAdminSheet</t>
  </si>
  <si>
    <t>キャンセル</t>
  </si>
  <si>
    <t>東京都港湾局 東京港建設事務所</t>
  </si>
  <si>
    <t>江東区辰巳1-1-33</t>
  </si>
  <si>
    <t>第一高潮対策センター</t>
  </si>
  <si>
    <t>野口　徹</t>
  </si>
  <si>
    <t>株式会社NTTデータ北陸</t>
  </si>
  <si>
    <t>石川県金沢市広岡三丁目１番１号　金沢パークビル</t>
  </si>
  <si>
    <t>社会基盤事業部</t>
  </si>
  <si>
    <t>加藤　広貴</t>
  </si>
  <si>
    <t>定期消耗品交換時連絡先：株式会社NTTデータ北陸 担当加藤　広貴076-224-4646</t>
  </si>
  <si>
    <t>DE00-0300-C530-EFF7</t>
  </si>
  <si>
    <t>E400-0300-C530-EFFD</t>
  </si>
  <si>
    <t>XJV11685</t>
  </si>
  <si>
    <t>XJV11682</t>
  </si>
  <si>
    <t>135-0053</t>
    <phoneticPr fontId="7"/>
  </si>
  <si>
    <t>920-0031</t>
    <phoneticPr fontId="7"/>
  </si>
  <si>
    <t>076-224-4646</t>
    <phoneticPr fontId="7"/>
  </si>
  <si>
    <t>成功</t>
  </si>
  <si>
    <t>03-3521-3013</t>
    <phoneticPr fontId="7"/>
  </si>
  <si>
    <t>24545778-001</t>
    <phoneticPr fontId="7"/>
  </si>
  <si>
    <t>旧映像・営業・ＭＳＯＬ部営業４課</t>
    <phoneticPr fontId="7"/>
  </si>
  <si>
    <t>葛西</t>
    <phoneticPr fontId="7"/>
  </si>
  <si>
    <t>首都圏２部１課</t>
    <phoneticPr fontId="7"/>
  </si>
  <si>
    <t>IPA25001</t>
    <phoneticPr fontId="7"/>
  </si>
  <si>
    <r>
      <t>東京</t>
    </r>
    <r>
      <rPr>
        <sz val="12"/>
        <color theme="1"/>
        <rFont val="游ゴシック"/>
        <family val="3"/>
        <charset val="128"/>
        <scheme val="minor"/>
      </rPr>
      <t>都</t>
    </r>
    <phoneticPr fontId="7"/>
  </si>
  <si>
    <t>ExtractData</t>
  </si>
  <si>
    <t>IPS25001</t>
  </si>
  <si>
    <t>佐賀県立九州シンクロトロン光研究センター</t>
  </si>
  <si>
    <t>佐賀県</t>
  </si>
  <si>
    <t>鳥栖市弥生が丘８丁目７</t>
  </si>
  <si>
    <t>総務課</t>
  </si>
  <si>
    <t>竹原</t>
  </si>
  <si>
    <t>電通サービス株式会社</t>
  </si>
  <si>
    <t>福岡市博多区東比恵2-2-6</t>
  </si>
  <si>
    <t>営業部</t>
  </si>
  <si>
    <t>株式会社ソアー</t>
  </si>
  <si>
    <t>佐賀県佐賀市鍋島3-10-14</t>
  </si>
  <si>
    <t>古賀</t>
  </si>
  <si>
    <t>YAV50811</t>
  </si>
  <si>
    <t>YBV36253</t>
  </si>
  <si>
    <t>YBV36250</t>
  </si>
  <si>
    <t>YBV36243</t>
  </si>
  <si>
    <t>YBV27262</t>
  </si>
  <si>
    <t>YBV27223</t>
  </si>
  <si>
    <t>YBV27243</t>
  </si>
  <si>
    <t>YBV27267</t>
  </si>
  <si>
    <t>YBV33575</t>
  </si>
  <si>
    <t>841-0005</t>
    <phoneticPr fontId="7"/>
  </si>
  <si>
    <t>0942-83-5017</t>
    <phoneticPr fontId="7"/>
  </si>
  <si>
    <t>812-0007</t>
    <phoneticPr fontId="7"/>
  </si>
  <si>
    <t>092-431-1231</t>
    <phoneticPr fontId="7"/>
  </si>
  <si>
    <t>849-0937</t>
    <phoneticPr fontId="7"/>
  </si>
  <si>
    <t>0954-34-1320</t>
    <phoneticPr fontId="7"/>
  </si>
  <si>
    <t>24784676-001</t>
    <phoneticPr fontId="7"/>
  </si>
  <si>
    <t>★ J-WJNU301/2-CP5A</t>
    <phoneticPr fontId="7"/>
  </si>
  <si>
    <t>J-WVSUD638UX-CP5A</t>
    <phoneticPr fontId="7"/>
  </si>
  <si>
    <t>佐賀県立九州シンクロトロン光研究センター</t>
    <phoneticPr fontId="7"/>
  </si>
  <si>
    <t>J-WVS1536LUX-CP5A</t>
    <phoneticPr fontId="7"/>
  </si>
  <si>
    <t>J-WVS2136LUX-CP5A</t>
    <phoneticPr fontId="7"/>
  </si>
  <si>
    <t>IPA25002</t>
  </si>
  <si>
    <t>株式会社ＮＨＫテクノロジーズ</t>
  </si>
  <si>
    <t>世田谷区砧1-10-11</t>
  </si>
  <si>
    <t>デジタル開発技術本部　基幹システム運用部</t>
  </si>
  <si>
    <t>白濱　和弘</t>
  </si>
  <si>
    <t>パナソニックEWネットワークス株式会社</t>
  </si>
  <si>
    <t xml:space="preserve">東京都港区東新橋2-12-7　住友東新橋ビル2号館4F </t>
  </si>
  <si>
    <t>ソリューションサポート部　ソリューション保守課</t>
  </si>
  <si>
    <t>東京都世田谷区砧1-10-11</t>
  </si>
  <si>
    <t>定期消耗品交換時連絡先：株式会社ＮＨＫテクノロジーズ 担当中村　辰郎03-5456-1427</t>
  </si>
  <si>
    <t>WJ-NX410K</t>
  </si>
  <si>
    <t>XJV04658</t>
  </si>
  <si>
    <t>WJ-HDU42/6</t>
  </si>
  <si>
    <t>XIV00707</t>
  </si>
  <si>
    <t>XIV00703</t>
  </si>
  <si>
    <t>XJV00618</t>
  </si>
  <si>
    <t>XJV00619</t>
  </si>
  <si>
    <t>XIV00227</t>
  </si>
  <si>
    <t>XIV00225</t>
  </si>
  <si>
    <t>XKV62265</t>
  </si>
  <si>
    <t>XKV62249</t>
  </si>
  <si>
    <t>XKV55900</t>
  </si>
  <si>
    <t>XKV62257</t>
  </si>
  <si>
    <t>XKV62232</t>
  </si>
  <si>
    <t>XKV62216</t>
  </si>
  <si>
    <t>XKV62251</t>
  </si>
  <si>
    <t>XKV62252</t>
  </si>
  <si>
    <t>XKV62256</t>
  </si>
  <si>
    <t>XKV62246</t>
  </si>
  <si>
    <t>XKV62263</t>
  </si>
  <si>
    <t>XKV59642</t>
  </si>
  <si>
    <t>XKV62255</t>
  </si>
  <si>
    <t>XKV62230</t>
  </si>
  <si>
    <t>XKV62262</t>
  </si>
  <si>
    <t>XKV62260</t>
  </si>
  <si>
    <t>XKV59641</t>
  </si>
  <si>
    <t>XKV62287</t>
  </si>
  <si>
    <t>XKV62285</t>
  </si>
  <si>
    <t>XKV62250</t>
  </si>
  <si>
    <t>XKV62274</t>
  </si>
  <si>
    <t>XKV62258</t>
  </si>
  <si>
    <t>XKV55904</t>
  </si>
  <si>
    <t>XKV62217</t>
  </si>
  <si>
    <t>157-8510</t>
    <phoneticPr fontId="7"/>
  </si>
  <si>
    <t>03-5494-3827</t>
    <phoneticPr fontId="7"/>
  </si>
  <si>
    <t>105-0021</t>
    <phoneticPr fontId="7"/>
  </si>
  <si>
    <t>03-6402-5301</t>
    <phoneticPr fontId="7"/>
  </si>
  <si>
    <t>株式会社ＮＨＫテクノロジーズ</t>
    <phoneticPr fontId="7"/>
  </si>
  <si>
    <t>映像・営業・西日本営業部営業１課</t>
    <phoneticPr fontId="7"/>
  </si>
  <si>
    <t>関川</t>
    <rPh sb="0" eb="2">
      <t>セキカワ</t>
    </rPh>
    <phoneticPr fontId="7"/>
  </si>
  <si>
    <t>24799645-001</t>
    <phoneticPr fontId="7"/>
  </si>
  <si>
    <t>★ J-WJNX310/4-CP5A</t>
    <phoneticPr fontId="7"/>
  </si>
  <si>
    <t>IPA25003</t>
  </si>
  <si>
    <t>定期消耗品交換時連絡先： 担当</t>
  </si>
  <si>
    <t>映像・営業・九州営業部営業２課</t>
  </si>
  <si>
    <t>緒方</t>
  </si>
  <si>
    <t>九州部１課</t>
    <phoneticPr fontId="7"/>
  </si>
  <si>
    <t>北海道エアポート株式会社</t>
  </si>
  <si>
    <t>千歳市美々987番地22 ターミナルアネックスビル 5F</t>
  </si>
  <si>
    <t>新千歳空港事業所 空港運用部　運航情報課</t>
  </si>
  <si>
    <t>荒 孝　様</t>
  </si>
  <si>
    <t>パナソニックコネクト株式会社　</t>
  </si>
  <si>
    <t>北海道札幌市豊平区月寒中央通11丁目７－４０</t>
  </si>
  <si>
    <t>現場ソリューションカンパニー　東日本社 SPF本部 FS総括部 北海道S部 FS3課</t>
  </si>
  <si>
    <t>北海道千歳市美々987番地22 ターミナルアネックスビル 5F</t>
  </si>
  <si>
    <t>XFV15219</t>
  </si>
  <si>
    <t>XGV04987</t>
  </si>
  <si>
    <t>XGV04989</t>
  </si>
  <si>
    <t>XFV15215</t>
  </si>
  <si>
    <t>XGV01847</t>
  </si>
  <si>
    <t>XFV17179</t>
  </si>
  <si>
    <t>XFV25954</t>
  </si>
  <si>
    <t>XFV25952</t>
  </si>
  <si>
    <t>XGV04974</t>
  </si>
  <si>
    <t>XFV15220</t>
  </si>
  <si>
    <t>XFV20001</t>
  </si>
  <si>
    <t>XFV41685</t>
  </si>
  <si>
    <t>XFV17178</t>
  </si>
  <si>
    <t>XFV15221</t>
  </si>
  <si>
    <t>XFV41689</t>
  </si>
  <si>
    <t>XFV23292</t>
  </si>
  <si>
    <t>XFV17183</t>
  </si>
  <si>
    <t>XGV04973</t>
  </si>
  <si>
    <t>XFV25955</t>
  </si>
  <si>
    <t>XFV17182</t>
  </si>
  <si>
    <t>XFV41686</t>
  </si>
  <si>
    <t>XFV41688</t>
  </si>
  <si>
    <t>XAV33155</t>
  </si>
  <si>
    <t>XAV33154</t>
  </si>
  <si>
    <t>XDF11936</t>
  </si>
  <si>
    <t>XFV18870</t>
  </si>
  <si>
    <t>XFV18872</t>
  </si>
  <si>
    <t>066-0012</t>
    <phoneticPr fontId="7"/>
  </si>
  <si>
    <t>070-7401-0502</t>
    <phoneticPr fontId="7"/>
  </si>
  <si>
    <t>062-0020</t>
    <phoneticPr fontId="7"/>
  </si>
  <si>
    <t>011-853-5000</t>
    <phoneticPr fontId="7"/>
  </si>
  <si>
    <t>J-WVU2132LA-CP5A</t>
    <phoneticPr fontId="7"/>
  </si>
  <si>
    <t>WV-SUD638UX</t>
    <phoneticPr fontId="7"/>
  </si>
  <si>
    <t>IPA25004</t>
  </si>
  <si>
    <t>株式会社NTTデータ</t>
  </si>
  <si>
    <t>三鷹市下連雀５丁目１−３４</t>
  </si>
  <si>
    <t>ファシリティエンジニアリング事業部</t>
  </si>
  <si>
    <t>有村　幸二郎</t>
  </si>
  <si>
    <t>NTTデータカスタマサービス株式会社</t>
  </si>
  <si>
    <t>東京都江東区豊洲3-3-9　豊洲センタービルアネックス 31F</t>
  </si>
  <si>
    <t>東京都三鷹市下連雀５丁目１−３４</t>
  </si>
  <si>
    <t>中村　仁彦</t>
  </si>
  <si>
    <t>XLV04545</t>
  </si>
  <si>
    <t>XLV04543</t>
  </si>
  <si>
    <t>XLV04552</t>
  </si>
  <si>
    <t>XLV37402</t>
  </si>
  <si>
    <t>XLV37360</t>
  </si>
  <si>
    <t>XLV37393</t>
  </si>
  <si>
    <t>XLV04551</t>
  </si>
  <si>
    <t>XLV37394</t>
  </si>
  <si>
    <t>XLV37361</t>
  </si>
  <si>
    <t>XLV37284</t>
  </si>
  <si>
    <t>XLV37371</t>
  </si>
  <si>
    <t>XLV37306</t>
  </si>
  <si>
    <t>XLV37401</t>
  </si>
  <si>
    <t>XLV37372</t>
  </si>
  <si>
    <t>XKV21076</t>
  </si>
  <si>
    <t>XJV00801</t>
  </si>
  <si>
    <t>RD0LXEAE</t>
  </si>
  <si>
    <t>RD0SMZSE</t>
  </si>
  <si>
    <t>RD0LSASE</t>
  </si>
  <si>
    <t>RD0SN6HE</t>
  </si>
  <si>
    <t>RD0XVLXE</t>
  </si>
  <si>
    <t>RD0LXEUE</t>
  </si>
  <si>
    <t>XJV00813</t>
  </si>
  <si>
    <t>J-WVSUD638UX-CP5A</t>
    <phoneticPr fontId="7"/>
  </si>
  <si>
    <t>J-WVS66700Z3L-CP5A</t>
    <phoneticPr fontId="7"/>
  </si>
  <si>
    <t>映像・営業・営業１部営業２課</t>
  </si>
  <si>
    <t>市川</t>
  </si>
  <si>
    <t>首都圏２部１課</t>
  </si>
  <si>
    <t>株式会社JR東日本ネットステーション</t>
  </si>
  <si>
    <t>151-0051</t>
  </si>
  <si>
    <t>渋谷区千駄ヶ谷5-33-8　SOUTH GATE新宿9階</t>
  </si>
  <si>
    <t>企画部</t>
  </si>
  <si>
    <t>野村　武史</t>
  </si>
  <si>
    <t>03-6273-1126</t>
  </si>
  <si>
    <t>石渡電気株式会社</t>
  </si>
  <si>
    <t>104-0031</t>
  </si>
  <si>
    <t>東京都中央区京橋2-2-1　京橋エドグラン27階</t>
  </si>
  <si>
    <t>営業事業本部　首都圏営業部第２グループ</t>
  </si>
  <si>
    <t>03-3271-5152</t>
  </si>
  <si>
    <t>東京都渋谷区千駄ヶ谷5-33-8　SOUTH GATE新宿9階</t>
  </si>
  <si>
    <t>XKV24947</t>
  </si>
  <si>
    <t>24808001-001</t>
  </si>
  <si>
    <t/>
  </si>
  <si>
    <t>XLV49222</t>
  </si>
  <si>
    <t>XLV49224</t>
  </si>
  <si>
    <t>XLV49218</t>
  </si>
  <si>
    <t>YBV39816</t>
  </si>
  <si>
    <t>IPA25005</t>
  </si>
  <si>
    <t>ＰＳ・社会ＳＯＬ・営８部３課</t>
  </si>
  <si>
    <t>長谷川</t>
  </si>
  <si>
    <t>181-0013</t>
  </si>
  <si>
    <t>090-1608-8242</t>
  </si>
  <si>
    <t>135-8178</t>
  </si>
  <si>
    <t>090-6321-9704</t>
  </si>
  <si>
    <t>24810413-001</t>
  </si>
  <si>
    <t>WJ-NX510K</t>
  </si>
  <si>
    <t>消耗部品交換対象</t>
  </si>
  <si>
    <t>定期消耗品交換時連絡先：NTTデータカスタマサービス株式会社 担当有村　幸二郎 090-1608-8242</t>
  </si>
  <si>
    <t>J-WJNX510K-CP5A</t>
  </si>
  <si>
    <t>WJ-HDU42/8</t>
  </si>
  <si>
    <t>J-WJHDU42/8-CP5A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</si>
</sst>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quot;年&quot;m&quot;月&quot;;@"/>
    <numFmt numFmtId="177" formatCode="yyyy/m/d;@"/>
    <numFmt numFmtId="178" formatCode="yyyy&quot; 年度&quot;"/>
    <numFmt numFmtId="179" formatCode="yyyy"/>
    <numFmt numFmtId="180" formatCode="0000"/>
  </numFmts>
  <fonts count="5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1"/>
      <color theme="3"/>
      <name val="游ゴシック"/>
      <family val="2"/>
      <charset val="128"/>
      <scheme val="minor"/>
    </font>
    <font>
      <b/>
      <sz val="11"/>
      <color rgb="FF3F3F3F"/>
      <name val="游ゴシック"/>
      <family val="2"/>
      <charset val="128"/>
      <scheme val="minor"/>
    </font>
    <font>
      <i/>
      <sz val="11"/>
      <color rgb="FF7F7F7F"/>
      <name val="游ゴシック"/>
      <family val="2"/>
      <charset val="128"/>
      <scheme val="minor"/>
    </font>
    <font>
      <sz val="18"/>
      <color theme="3"/>
      <name val="BIZ UDPゴシック"/>
      <family val="3"/>
      <charset val="128"/>
    </font>
    <font>
      <sz val="6"/>
      <name val="游ゴシック"/>
      <family val="2"/>
      <charset val="128"/>
      <scheme val="minor"/>
    </font>
    <font>
      <b/>
      <sz val="11"/>
      <color theme="1"/>
      <name val="游ゴシック"/>
      <family val="3"/>
      <charset val="128"/>
      <scheme val="minor"/>
    </font>
    <font>
      <sz val="11"/>
      <color theme="1"/>
      <name val="BIZ UDPゴシック"/>
      <family val="3"/>
      <charset val="128"/>
    </font>
    <font>
      <b/>
      <sz val="11"/>
      <color theme="3"/>
      <name val="BIZ UDPゴシック"/>
      <family val="3"/>
      <charset val="128"/>
    </font>
    <font>
      <b/>
      <sz val="11"/>
      <color theme="1"/>
      <name val="BIZ UDPゴシック"/>
      <family val="3"/>
      <charset val="128"/>
    </font>
    <font>
      <b/>
      <sz val="11"/>
      <color rgb="FF3F3F3F"/>
      <name val="BIZ UDPゴシック"/>
      <family val="3"/>
      <charset val="128"/>
    </font>
    <font>
      <sz val="11"/>
      <name val="ＭＳ Ｐゴシック"/>
      <family val="3"/>
      <charset val="128"/>
    </font>
    <font>
      <sz val="11"/>
      <color theme="1"/>
      <name val="游ゴシック"/>
      <family val="3"/>
      <charset val="128"/>
      <scheme val="minor"/>
    </font>
    <font>
      <sz val="8"/>
      <color theme="1"/>
      <name val="BIZ UDPゴシック"/>
      <family val="3"/>
      <charset val="128"/>
    </font>
    <font>
      <sz val="11"/>
      <color theme="0"/>
      <name val="ＭＳ Ｐゴシック"/>
      <family val="3"/>
      <charset val="128"/>
    </font>
    <font>
      <b/>
      <sz val="13"/>
      <color theme="3"/>
      <name val="游ゴシック"/>
      <family val="2"/>
      <charset val="128"/>
      <scheme val="minor"/>
    </font>
    <font>
      <u/>
      <sz val="11"/>
      <color theme="10"/>
      <name val="游ゴシック"/>
      <family val="2"/>
      <charset val="128"/>
      <scheme val="minor"/>
    </font>
    <font>
      <sz val="11"/>
      <name val="BIZ UDPゴシック"/>
      <family val="3"/>
      <charset val="128"/>
    </font>
    <font>
      <b/>
      <sz val="14"/>
      <color theme="0"/>
      <name val="游ゴシック"/>
      <family val="3"/>
      <charset val="128"/>
      <scheme val="minor"/>
    </font>
    <font>
      <sz val="11"/>
      <name val="游ゴシック"/>
      <family val="3"/>
      <charset val="128"/>
      <scheme val="minor"/>
    </font>
    <font>
      <sz val="13"/>
      <name val="游ゴシック"/>
      <family val="3"/>
      <charset val="128"/>
      <scheme val="minor"/>
    </font>
    <font>
      <sz val="14"/>
      <name val="游ゴシック"/>
      <family val="3"/>
      <charset val="128"/>
      <scheme val="minor"/>
    </font>
    <font>
      <sz val="10"/>
      <color theme="1"/>
      <name val="BIZ UDPゴシック"/>
      <family val="3"/>
      <charset val="128"/>
    </font>
    <font>
      <sz val="11"/>
      <color rgb="FF3F3F76"/>
      <name val="游ゴシック"/>
      <family val="2"/>
      <charset val="128"/>
      <scheme val="minor"/>
    </font>
    <font>
      <b/>
      <sz val="16"/>
      <name val="ＭＳ Ｐゴシック"/>
      <family val="3"/>
      <charset val="128"/>
    </font>
    <font>
      <sz val="6"/>
      <name val="ＭＳ Ｐゴシック"/>
      <family val="3"/>
      <charset val="128"/>
    </font>
    <font>
      <b/>
      <sz val="11"/>
      <color rgb="FFFF0000"/>
      <name val="ＭＳ Ｐゴシック"/>
      <family val="3"/>
      <charset val="128"/>
    </font>
    <font>
      <sz val="10"/>
      <name val="ＭＳ Ｐゴシック"/>
      <family val="3"/>
      <charset val="128"/>
    </font>
    <font>
      <sz val="9"/>
      <name val="ＭＳ Ｐゴシック"/>
      <family val="3"/>
      <charset val="128"/>
    </font>
    <font>
      <sz val="11"/>
      <color theme="4" tint="-0.249977111117893"/>
      <name val="游ゴシック"/>
      <family val="2"/>
      <charset val="128"/>
      <scheme val="minor"/>
    </font>
    <font>
      <b/>
      <sz val="11"/>
      <color theme="4" tint="-0.249977111117893"/>
      <name val="游ゴシック"/>
      <family val="3"/>
      <charset val="128"/>
      <scheme val="minor"/>
    </font>
    <font>
      <i/>
      <u/>
      <sz val="11"/>
      <color theme="1"/>
      <name val="UD デジタル 教科書体 N-B"/>
      <family val="1"/>
      <charset val="128"/>
    </font>
    <font>
      <i/>
      <sz val="11"/>
      <color theme="1"/>
      <name val="UD デジタル 教科書体 N-B"/>
      <family val="1"/>
      <charset val="128"/>
    </font>
    <font>
      <sz val="10"/>
      <color rgb="FFFF0000"/>
      <name val="BIZ UDPゴシック"/>
      <family val="3"/>
      <charset val="128"/>
    </font>
    <font>
      <strike/>
      <sz val="10"/>
      <color rgb="FFFF0000"/>
      <name val="BIZ UDPゴシック"/>
      <family val="3"/>
      <charset val="128"/>
    </font>
    <font>
      <sz val="10"/>
      <color theme="0" tint="-4.9989318521683403E-2"/>
      <name val="BIZ UDPゴシック"/>
      <family val="3"/>
      <charset val="128"/>
    </font>
    <font>
      <b/>
      <sz val="9"/>
      <name val="ＭＳ Ｐゴシック"/>
      <family val="3"/>
      <charset val="128"/>
    </font>
    <font>
      <i/>
      <sz val="9"/>
      <color rgb="FF7F7F7F"/>
      <name val="游ゴシック"/>
      <family val="2"/>
      <charset val="128"/>
      <scheme val="minor"/>
    </font>
    <font>
      <i/>
      <sz val="9"/>
      <color rgb="FF7F7F7F"/>
      <name val="游ゴシック"/>
      <family val="3"/>
      <charset val="128"/>
      <scheme val="minor"/>
    </font>
    <font>
      <sz val="9"/>
      <color theme="1"/>
      <name val="游ゴシック"/>
      <family val="2"/>
      <charset val="128"/>
      <scheme val="minor"/>
    </font>
    <font>
      <strike/>
      <sz val="10"/>
      <color theme="1"/>
      <name val="BIZ UDPゴシック"/>
      <family val="3"/>
      <charset val="128"/>
    </font>
    <font>
      <sz val="10"/>
      <color rgb="FF242424"/>
      <name val="BIZ UDPゴシック"/>
      <family val="3"/>
      <charset val="128"/>
    </font>
    <font>
      <sz val="11"/>
      <name val="游ゴシック"/>
      <family val="3"/>
      <charset val="128"/>
    </font>
    <font>
      <sz val="10"/>
      <color theme="4"/>
      <name val="BIZ UDPゴシック"/>
      <family val="3"/>
      <charset val="128"/>
    </font>
    <font>
      <sz val="8"/>
      <color rgb="FFFF0000"/>
      <name val="游ゴシック"/>
      <family val="3"/>
      <charset val="128"/>
      <scheme val="minor"/>
    </font>
    <font>
      <sz val="8"/>
      <name val="游ゴシック"/>
      <family val="3"/>
      <charset val="128"/>
      <scheme val="minor"/>
    </font>
    <font>
      <sz val="9"/>
      <color theme="1"/>
      <name val="游ゴシック"/>
      <family val="3"/>
      <charset val="128"/>
      <scheme val="minor"/>
    </font>
    <font>
      <u/>
      <sz val="11"/>
      <color theme="0"/>
      <name val="游ゴシック"/>
      <family val="2"/>
      <charset val="128"/>
      <scheme val="minor"/>
    </font>
    <font>
      <b/>
      <sz val="9"/>
      <color rgb="FF3F3F3F"/>
      <name val="游ゴシック"/>
      <family val="3"/>
      <charset val="128"/>
      <scheme val="minor"/>
    </font>
    <font>
      <sz val="10"/>
      <color theme="1"/>
      <name val="游ゴシック"/>
      <family val="3"/>
      <charset val="128"/>
    </font>
    <font>
      <sz val="10"/>
      <color theme="1"/>
      <name val="Yu Gothic UI"/>
      <family val="3"/>
      <charset val="128"/>
    </font>
    <font>
      <i/>
      <u/>
      <sz val="9"/>
      <color rgb="FFFF0000"/>
      <name val="游ゴシック"/>
      <family val="2"/>
      <charset val="128"/>
      <scheme val="minor"/>
    </font>
    <font>
      <b/>
      <sz val="10"/>
      <color theme="1"/>
      <name val="BIZ UDPゴシック"/>
      <family val="3"/>
      <charset val="128"/>
    </font>
    <font>
      <sz val="6"/>
      <name val="BIZ UDPゴシック"/>
      <family val="3"/>
      <charset val="128"/>
    </font>
    <font>
      <sz val="12"/>
      <color theme="1"/>
      <name val="游ゴシック"/>
      <family val="3"/>
      <charset val="128"/>
      <scheme val="minor"/>
    </font>
  </fonts>
  <fills count="23">
    <fill>
      <patternFill patternType="none"/>
    </fill>
    <fill>
      <patternFill patternType="gray125"/>
    </fill>
    <fill>
      <patternFill patternType="solid">
        <fgColor rgb="FFF2F2F2"/>
      </patternFill>
    </fill>
    <fill>
      <patternFill patternType="solid">
        <fgColor rgb="FFFFFFCC"/>
      </patternFill>
    </fill>
    <fill>
      <patternFill patternType="solid">
        <fgColor theme="0"/>
        <bgColor indexed="64"/>
      </patternFill>
    </fill>
    <fill>
      <patternFill patternType="solid">
        <fgColor rgb="FFCCFFFF"/>
        <bgColor indexed="64"/>
      </patternFill>
    </fill>
    <fill>
      <patternFill patternType="solid">
        <fgColor indexed="41"/>
        <bgColor indexed="64"/>
      </patternFill>
    </fill>
    <fill>
      <patternFill patternType="solid">
        <fgColor rgb="FFFFFFCC"/>
        <bgColor indexed="64"/>
      </patternFill>
    </fill>
    <fill>
      <patternFill patternType="solid">
        <fgColor rgb="FF002060"/>
        <bgColor indexed="64"/>
      </patternFill>
    </fill>
    <fill>
      <patternFill patternType="solid">
        <fgColor rgb="FFFFCC99"/>
      </patternFill>
    </fill>
    <fill>
      <patternFill patternType="solid">
        <fgColor indexed="51"/>
        <bgColor indexed="64"/>
      </patternFill>
    </fill>
    <fill>
      <patternFill patternType="solid">
        <fgColor theme="8" tint="0.59996337778862885"/>
        <bgColor indexed="64"/>
      </patternFill>
    </fill>
    <fill>
      <patternFill patternType="solid">
        <fgColor rgb="FF99CCFF"/>
        <bgColor indexed="64"/>
      </patternFill>
    </fill>
    <fill>
      <patternFill patternType="solid">
        <fgColor indexed="42"/>
        <bgColor indexed="64"/>
      </patternFill>
    </fill>
    <fill>
      <patternFill patternType="solid">
        <fgColor indexed="43"/>
        <bgColor indexed="64"/>
      </patternFill>
    </fill>
    <fill>
      <patternFill patternType="solid">
        <fgColor rgb="FFFFFF00"/>
        <bgColor indexed="64"/>
      </patternFill>
    </fill>
    <fill>
      <patternFill patternType="solid">
        <fgColor indexed="50"/>
        <bgColor indexed="64"/>
      </patternFill>
    </fill>
    <fill>
      <patternFill patternType="solid">
        <fgColor theme="0"/>
        <bgColor theme="4" tint="0.79998168889431442"/>
      </patternFill>
    </fill>
    <fill>
      <patternFill patternType="solid">
        <fgColor theme="3" tint="0.749992370372631"/>
        <bgColor indexed="64"/>
      </patternFill>
    </fill>
    <fill>
      <patternFill patternType="solid">
        <fgColor theme="9" tint="0.79998168889431442"/>
        <bgColor indexed="64"/>
      </patternFill>
    </fill>
    <fill>
      <patternFill patternType="solid">
        <fgColor theme="0" tint="-0.34998626667073579"/>
        <bgColor indexed="64"/>
      </patternFill>
    </fill>
    <fill>
      <patternFill patternType="lightDown"/>
    </fill>
    <fill>
      <patternFill patternType="lightUp"/>
    </fill>
  </fills>
  <borders count="75">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hair">
        <color auto="1"/>
      </top>
      <bottom style="hair">
        <color auto="1"/>
      </bottom>
      <diagonal/>
    </border>
    <border>
      <left style="thin">
        <color indexed="64"/>
      </left>
      <right style="thin">
        <color indexed="64"/>
      </right>
      <top style="thin">
        <color indexed="64"/>
      </top>
      <bottom style="double">
        <color indexed="64"/>
      </bottom>
      <diagonal/>
    </border>
    <border>
      <left style="thin">
        <color auto="1"/>
      </left>
      <right style="thin">
        <color auto="1"/>
      </right>
      <top/>
      <bottom style="hair">
        <color auto="1"/>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bottom style="thick">
        <color theme="4" tint="0.499984740745262"/>
      </bottom>
      <diagonal/>
    </border>
    <border>
      <left style="medium">
        <color indexed="64"/>
      </left>
      <right style="thin">
        <color auto="1"/>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style="thin">
        <color auto="1"/>
      </left>
      <right style="medium">
        <color indexed="64"/>
      </right>
      <top style="hair">
        <color auto="1"/>
      </top>
      <bottom style="hair">
        <color auto="1"/>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hair">
        <color auto="1"/>
      </bottom>
      <diagonal/>
    </border>
    <border>
      <left/>
      <right style="medium">
        <color indexed="64"/>
      </right>
      <top style="thin">
        <color indexed="64"/>
      </top>
      <bottom style="hair">
        <color auto="1"/>
      </bottom>
      <diagonal/>
    </border>
    <border>
      <left style="medium">
        <color indexed="64"/>
      </left>
      <right/>
      <top style="hair">
        <color auto="1"/>
      </top>
      <bottom style="hair">
        <color auto="1"/>
      </bottom>
      <diagonal/>
    </border>
    <border>
      <left/>
      <right/>
      <top style="hair">
        <color auto="1"/>
      </top>
      <bottom style="hair">
        <color auto="1"/>
      </bottom>
      <diagonal/>
    </border>
    <border>
      <left/>
      <right style="medium">
        <color indexed="64"/>
      </right>
      <top style="hair">
        <color auto="1"/>
      </top>
      <bottom style="hair">
        <color auto="1"/>
      </bottom>
      <diagonal/>
    </border>
    <border>
      <left style="medium">
        <color indexed="64"/>
      </left>
      <right/>
      <top/>
      <bottom style="hair">
        <color auto="1"/>
      </bottom>
      <diagonal/>
    </border>
    <border>
      <left/>
      <right/>
      <top/>
      <bottom style="hair">
        <color auto="1"/>
      </bottom>
      <diagonal/>
    </border>
    <border>
      <left/>
      <right style="thin">
        <color auto="1"/>
      </right>
      <top style="medium">
        <color indexed="64"/>
      </top>
      <bottom style="double">
        <color indexed="64"/>
      </bottom>
      <diagonal/>
    </border>
    <border>
      <left/>
      <right style="thin">
        <color auto="1"/>
      </right>
      <top/>
      <bottom style="hair">
        <color auto="1"/>
      </bottom>
      <diagonal/>
    </border>
    <border>
      <left style="thin">
        <color rgb="FF7F7F7F"/>
      </left>
      <right style="thin">
        <color rgb="FF7F7F7F"/>
      </right>
      <top style="thin">
        <color rgb="FF7F7F7F"/>
      </top>
      <bottom style="thin">
        <color rgb="FF7F7F7F"/>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right style="medium">
        <color indexed="64"/>
      </right>
      <top style="medium">
        <color indexed="64"/>
      </top>
      <bottom style="thin">
        <color rgb="FFB2B2B2"/>
      </bottom>
      <diagonal/>
    </border>
    <border>
      <left style="medium">
        <color indexed="64"/>
      </left>
      <right style="thin">
        <color auto="1"/>
      </right>
      <top style="hair">
        <color auto="1"/>
      </top>
      <bottom style="hair">
        <color auto="1"/>
      </bottom>
      <diagonal/>
    </border>
    <border>
      <left/>
      <right style="medium">
        <color indexed="64"/>
      </right>
      <top style="thin">
        <color rgb="FFB2B2B2"/>
      </top>
      <bottom style="thin">
        <color rgb="FFB2B2B2"/>
      </bottom>
      <diagonal/>
    </border>
    <border>
      <left style="medium">
        <color indexed="64"/>
      </left>
      <right style="thin">
        <color auto="1"/>
      </right>
      <top style="hair">
        <color auto="1"/>
      </top>
      <bottom style="medium">
        <color indexed="64"/>
      </bottom>
      <diagonal/>
    </border>
    <border>
      <left style="thin">
        <color auto="1"/>
      </left>
      <right style="medium">
        <color indexed="64"/>
      </right>
      <top style="hair">
        <color auto="1"/>
      </top>
      <bottom style="medium">
        <color indexed="64"/>
      </bottom>
      <diagonal/>
    </border>
    <border>
      <left/>
      <right style="medium">
        <color indexed="64"/>
      </right>
      <top style="thin">
        <color rgb="FFB2B2B2"/>
      </top>
      <bottom style="medium">
        <color indexed="64"/>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medium">
        <color indexed="64"/>
      </left>
      <right style="thin">
        <color auto="1"/>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rgb="FFB2B2B2"/>
      </top>
      <bottom style="hair">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hair">
        <color indexed="64"/>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diagonalUp="1">
      <left style="thin">
        <color indexed="64"/>
      </left>
      <right style="thin">
        <color indexed="64"/>
      </right>
      <top style="thin">
        <color indexed="64"/>
      </top>
      <bottom style="thin">
        <color indexed="64"/>
      </bottom>
      <diagonal style="thin">
        <color indexed="64"/>
      </diagonal>
    </border>
    <border>
      <left style="thin">
        <color auto="1"/>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thin">
        <color auto="1"/>
      </left>
      <right/>
      <top style="hair">
        <color auto="1"/>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medium">
        <color indexed="64"/>
      </bottom>
      <diagonal/>
    </border>
    <border>
      <left style="thin">
        <color rgb="FFB2B2B2"/>
      </left>
      <right style="thin">
        <color rgb="FFB2B2B2"/>
      </right>
      <top style="thin">
        <color rgb="FFB2B2B2"/>
      </top>
      <bottom/>
      <diagonal/>
    </border>
    <border>
      <left style="thin">
        <color theme="1"/>
      </left>
      <right style="thin">
        <color theme="1"/>
      </right>
      <top style="thin">
        <color theme="1"/>
      </top>
      <bottom style="thin">
        <color theme="1"/>
      </bottom>
      <diagonal/>
    </border>
    <border>
      <left style="medium">
        <color indexed="64"/>
      </left>
      <right/>
      <top style="hair">
        <color auto="1"/>
      </top>
      <bottom style="medium">
        <color indexed="64"/>
      </bottom>
      <diagonal/>
    </border>
    <border>
      <left/>
      <right style="thin">
        <color auto="1"/>
      </right>
      <top/>
      <bottom style="medium">
        <color indexed="64"/>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thin">
        <color auto="1"/>
      </left>
      <right style="thin">
        <color auto="1"/>
      </right>
      <top style="hair">
        <color auto="1"/>
      </top>
      <bottom/>
      <diagonal/>
    </border>
  </borders>
  <cellStyleXfs count="15">
    <xf numFmtId="0" fontId="0" fillId="0" borderId="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4" fillId="2" borderId="1" applyNumberFormat="0" applyAlignment="0" applyProtection="0">
      <alignment vertical="center"/>
    </xf>
    <xf numFmtId="0" fontId="1" fillId="3" borderId="2" applyNumberFormat="0" applyFont="0" applyAlignment="0" applyProtection="0">
      <alignment vertical="center"/>
    </xf>
    <xf numFmtId="0" fontId="5" fillId="0" borderId="0" applyNumberFormat="0" applyFill="0" applyBorder="0" applyAlignment="0" applyProtection="0">
      <alignment vertical="center"/>
    </xf>
    <xf numFmtId="0" fontId="1" fillId="0" borderId="0">
      <alignment vertical="center"/>
    </xf>
    <xf numFmtId="38" fontId="14" fillId="0" borderId="0" applyFont="0" applyFill="0" applyBorder="0" applyAlignment="0" applyProtection="0">
      <alignment vertical="center"/>
    </xf>
    <xf numFmtId="38" fontId="1" fillId="0" borderId="0" applyFont="0" applyFill="0" applyBorder="0" applyAlignment="0" applyProtection="0">
      <alignment vertical="center"/>
    </xf>
    <xf numFmtId="0" fontId="13" fillId="0" borderId="0"/>
    <xf numFmtId="0" fontId="17" fillId="0" borderId="12" applyNumberFormat="0" applyFill="0" applyAlignment="0" applyProtection="0">
      <alignment vertical="center"/>
    </xf>
    <xf numFmtId="0" fontId="18" fillId="0" borderId="0" applyNumberFormat="0" applyFill="0" applyBorder="0" applyAlignment="0" applyProtection="0">
      <alignment vertical="center"/>
    </xf>
    <xf numFmtId="0" fontId="25" fillId="9" borderId="27" applyNumberFormat="0" applyAlignment="0" applyProtection="0">
      <alignment vertical="center"/>
    </xf>
    <xf numFmtId="0" fontId="13" fillId="0" borderId="0">
      <alignment vertical="center"/>
    </xf>
    <xf numFmtId="38" fontId="13" fillId="0" borderId="0" applyFont="0" applyFill="0" applyBorder="0" applyAlignment="0" applyProtection="0">
      <alignment vertical="center"/>
    </xf>
  </cellStyleXfs>
  <cellXfs count="282">
    <xf numFmtId="0" fontId="0" fillId="0" borderId="0" xfId="0">
      <alignment vertical="center"/>
    </xf>
    <xf numFmtId="0" fontId="6" fillId="4" borderId="0" xfId="1" applyFont="1" applyFill="1">
      <alignment vertical="center"/>
    </xf>
    <xf numFmtId="0" fontId="0" fillId="4" borderId="0" xfId="0" applyFill="1">
      <alignment vertical="center"/>
    </xf>
    <xf numFmtId="0" fontId="8" fillId="4" borderId="0" xfId="0" applyFont="1" applyFill="1">
      <alignment vertical="center"/>
    </xf>
    <xf numFmtId="22" fontId="0" fillId="0" borderId="3" xfId="0" applyNumberFormat="1" applyBorder="1">
      <alignment vertical="center"/>
    </xf>
    <xf numFmtId="0" fontId="0" fillId="0" borderId="3" xfId="0" applyBorder="1">
      <alignment vertical="center"/>
    </xf>
    <xf numFmtId="0" fontId="9" fillId="4" borderId="0" xfId="0" applyFont="1" applyFill="1">
      <alignment vertical="center"/>
    </xf>
    <xf numFmtId="0" fontId="9" fillId="0" borderId="0" xfId="0" applyFont="1">
      <alignment vertical="center"/>
    </xf>
    <xf numFmtId="0" fontId="10" fillId="0" borderId="4" xfId="2" applyFont="1" applyBorder="1">
      <alignment vertical="center"/>
    </xf>
    <xf numFmtId="0" fontId="11" fillId="4" borderId="5" xfId="0" applyFont="1" applyFill="1" applyBorder="1">
      <alignment vertical="center"/>
    </xf>
    <xf numFmtId="14" fontId="12" fillId="2" borderId="5" xfId="3" applyNumberFormat="1" applyFont="1" applyBorder="1">
      <alignment vertical="center"/>
    </xf>
    <xf numFmtId="0" fontId="12" fillId="2" borderId="5" xfId="3" applyFont="1" applyBorder="1">
      <alignment vertical="center"/>
    </xf>
    <xf numFmtId="0" fontId="5" fillId="2" borderId="6" xfId="5" applyFill="1" applyBorder="1">
      <alignment vertical="center"/>
    </xf>
    <xf numFmtId="0" fontId="12" fillId="2" borderId="3" xfId="3" applyFont="1" applyBorder="1">
      <alignment vertical="center"/>
    </xf>
    <xf numFmtId="0" fontId="5" fillId="2" borderId="3" xfId="5" applyFill="1" applyBorder="1">
      <alignment vertical="center"/>
    </xf>
    <xf numFmtId="0" fontId="11" fillId="4" borderId="3" xfId="0" applyFont="1" applyFill="1" applyBorder="1">
      <alignment vertical="center"/>
    </xf>
    <xf numFmtId="0" fontId="11" fillId="4" borderId="7" xfId="0" applyFont="1" applyFill="1" applyBorder="1">
      <alignment vertical="center"/>
    </xf>
    <xf numFmtId="0" fontId="12" fillId="2" borderId="7" xfId="3" applyFont="1" applyBorder="1">
      <alignment vertical="center"/>
    </xf>
    <xf numFmtId="0" fontId="5" fillId="2" borderId="7" xfId="5" applyFill="1" applyBorder="1">
      <alignment vertical="center"/>
    </xf>
    <xf numFmtId="0" fontId="15" fillId="0" borderId="0" xfId="0" applyFont="1" applyAlignment="1">
      <alignment horizontal="center" vertical="center"/>
    </xf>
    <xf numFmtId="0" fontId="2" fillId="0" borderId="0" xfId="1">
      <alignment vertical="center"/>
    </xf>
    <xf numFmtId="22" fontId="0" fillId="0" borderId="5" xfId="0" applyNumberFormat="1" applyBorder="1">
      <alignment vertical="center"/>
    </xf>
    <xf numFmtId="0" fontId="0" fillId="0" borderId="5" xfId="0" applyBorder="1">
      <alignment vertical="center"/>
    </xf>
    <xf numFmtId="0" fontId="8" fillId="5" borderId="11" xfId="0" applyFont="1" applyFill="1" applyBorder="1">
      <alignment vertical="center"/>
    </xf>
    <xf numFmtId="0" fontId="8" fillId="5" borderId="11" xfId="0" applyFont="1" applyFill="1" applyBorder="1" applyAlignment="1">
      <alignment vertical="center" wrapText="1"/>
    </xf>
    <xf numFmtId="0" fontId="11" fillId="5" borderId="14" xfId="0" applyFont="1" applyFill="1" applyBorder="1">
      <alignment vertical="center"/>
    </xf>
    <xf numFmtId="0" fontId="19" fillId="4" borderId="3" xfId="0" applyFont="1" applyFill="1" applyBorder="1" applyAlignment="1">
      <alignment horizontal="center" vertical="center"/>
    </xf>
    <xf numFmtId="0" fontId="19" fillId="4" borderId="5" xfId="0" applyFont="1" applyFill="1" applyBorder="1" applyAlignment="1">
      <alignment horizontal="center" vertical="center"/>
    </xf>
    <xf numFmtId="0" fontId="11" fillId="4" borderId="20" xfId="0" applyFont="1" applyFill="1" applyBorder="1" applyAlignment="1">
      <alignment horizontal="center" vertical="center"/>
    </xf>
    <xf numFmtId="0" fontId="0" fillId="4" borderId="21" xfId="0" applyFill="1" applyBorder="1">
      <alignment vertical="center"/>
    </xf>
    <xf numFmtId="0" fontId="0" fillId="0" borderId="3" xfId="0" applyBorder="1" applyAlignment="1">
      <alignment vertical="center" wrapText="1"/>
    </xf>
    <xf numFmtId="0" fontId="11" fillId="4" borderId="23" xfId="0" applyFont="1" applyFill="1" applyBorder="1" applyAlignment="1">
      <alignment horizontal="center" vertical="center"/>
    </xf>
    <xf numFmtId="0" fontId="0" fillId="4" borderId="24" xfId="0" applyFill="1" applyBorder="1">
      <alignment vertical="center"/>
    </xf>
    <xf numFmtId="0" fontId="11" fillId="5" borderId="25" xfId="0" applyFont="1" applyFill="1" applyBorder="1" applyAlignment="1">
      <alignment horizontal="center" vertical="center"/>
    </xf>
    <xf numFmtId="0" fontId="11" fillId="4" borderId="21"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24" xfId="0" applyFont="1" applyFill="1" applyBorder="1" applyAlignment="1">
      <alignment horizontal="center" vertical="center"/>
    </xf>
    <xf numFmtId="0" fontId="24" fillId="3" borderId="5" xfId="4" applyFont="1" applyBorder="1" applyAlignment="1">
      <alignment vertical="center" wrapText="1"/>
    </xf>
    <xf numFmtId="0" fontId="24" fillId="3" borderId="3" xfId="4" applyFont="1" applyBorder="1" applyAlignment="1">
      <alignment vertical="center" wrapText="1"/>
    </xf>
    <xf numFmtId="0" fontId="24" fillId="3" borderId="3" xfId="4" applyFont="1" applyBorder="1">
      <alignment vertical="center"/>
    </xf>
    <xf numFmtId="0" fontId="9" fillId="0" borderId="28" xfId="0" applyFont="1" applyBorder="1">
      <alignment vertical="center"/>
    </xf>
    <xf numFmtId="0" fontId="18" fillId="0" borderId="29" xfId="11" applyBorder="1" applyAlignment="1">
      <alignment vertical="center" wrapText="1"/>
    </xf>
    <xf numFmtId="0" fontId="9" fillId="0" borderId="31" xfId="0" applyFont="1" applyBorder="1">
      <alignment vertical="center"/>
    </xf>
    <xf numFmtId="0" fontId="18" fillId="0" borderId="15" xfId="11" applyBorder="1" applyAlignment="1">
      <alignment vertical="center" wrapText="1"/>
    </xf>
    <xf numFmtId="0" fontId="9" fillId="0" borderId="33" xfId="0" applyFont="1" applyBorder="1">
      <alignment vertical="center"/>
    </xf>
    <xf numFmtId="0" fontId="18" fillId="0" borderId="34" xfId="11" applyBorder="1" applyAlignment="1">
      <alignment vertical="center" wrapText="1"/>
    </xf>
    <xf numFmtId="0" fontId="25" fillId="9" borderId="36" xfId="12" applyBorder="1" applyAlignment="1">
      <alignment vertical="center" wrapText="1"/>
    </xf>
    <xf numFmtId="0" fontId="25" fillId="9" borderId="37" xfId="12" applyBorder="1" applyAlignment="1">
      <alignment vertical="center" wrapText="1"/>
    </xf>
    <xf numFmtId="0" fontId="25" fillId="9" borderId="38" xfId="12" applyBorder="1" applyAlignment="1">
      <alignment vertical="center" wrapText="1"/>
    </xf>
    <xf numFmtId="0" fontId="9" fillId="0" borderId="39" xfId="0" applyFont="1" applyBorder="1">
      <alignment vertical="center"/>
    </xf>
    <xf numFmtId="0" fontId="4" fillId="3" borderId="40" xfId="4" quotePrefix="1" applyFont="1" applyBorder="1" applyAlignment="1">
      <alignment vertical="center" wrapText="1"/>
    </xf>
    <xf numFmtId="0" fontId="4" fillId="3" borderId="32" xfId="4" quotePrefix="1" applyFont="1" applyBorder="1" applyAlignment="1">
      <alignment vertical="center" wrapText="1"/>
    </xf>
    <xf numFmtId="0" fontId="9" fillId="0" borderId="42" xfId="0" applyFont="1" applyBorder="1">
      <alignment vertical="center"/>
    </xf>
    <xf numFmtId="0" fontId="24" fillId="3" borderId="7" xfId="4" applyFont="1" applyBorder="1">
      <alignment vertical="center"/>
    </xf>
    <xf numFmtId="0" fontId="24" fillId="0" borderId="0" xfId="0" applyFont="1">
      <alignment vertical="center"/>
    </xf>
    <xf numFmtId="0" fontId="11" fillId="5" borderId="13" xfId="0" applyFont="1" applyFill="1" applyBorder="1" applyAlignment="1">
      <alignment horizontal="left" vertical="center"/>
    </xf>
    <xf numFmtId="0" fontId="13" fillId="0" borderId="0" xfId="13" applyAlignment="1">
      <alignment horizontal="right" vertical="center"/>
    </xf>
    <xf numFmtId="0" fontId="26" fillId="0" borderId="0" xfId="13" applyFont="1">
      <alignment vertical="center"/>
    </xf>
    <xf numFmtId="0" fontId="26" fillId="0" borderId="0" xfId="13" applyFont="1" applyAlignment="1">
      <alignment vertical="center" shrinkToFit="1"/>
    </xf>
    <xf numFmtId="0" fontId="13" fillId="0" borderId="0" xfId="13">
      <alignment vertical="center"/>
    </xf>
    <xf numFmtId="0" fontId="13" fillId="0" borderId="0" xfId="13" applyAlignment="1">
      <alignment horizontal="center" vertical="center"/>
    </xf>
    <xf numFmtId="38" fontId="26" fillId="0" borderId="0" xfId="14" applyFont="1" applyAlignment="1">
      <alignment vertical="center"/>
    </xf>
    <xf numFmtId="38" fontId="0" fillId="0" borderId="0" xfId="14" applyFont="1" applyAlignment="1">
      <alignment vertical="center"/>
    </xf>
    <xf numFmtId="14" fontId="13" fillId="0" borderId="0" xfId="13" applyNumberFormat="1">
      <alignment vertical="center"/>
    </xf>
    <xf numFmtId="176" fontId="13" fillId="0" borderId="0" xfId="13" applyNumberFormat="1">
      <alignment vertical="center"/>
    </xf>
    <xf numFmtId="0" fontId="13" fillId="10" borderId="10" xfId="13" applyFill="1" applyBorder="1" applyAlignment="1">
      <alignment horizontal="center" vertical="center"/>
    </xf>
    <xf numFmtId="0" fontId="13" fillId="10" borderId="46" xfId="13" applyFill="1" applyBorder="1" applyAlignment="1">
      <alignment horizontal="center" vertical="center"/>
    </xf>
    <xf numFmtId="38" fontId="0" fillId="10" borderId="10" xfId="14" applyFont="1" applyFill="1" applyBorder="1" applyAlignment="1">
      <alignment horizontal="center" vertical="center"/>
    </xf>
    <xf numFmtId="14" fontId="13" fillId="10" borderId="10" xfId="13" applyNumberFormat="1" applyFill="1" applyBorder="1" applyAlignment="1">
      <alignment horizontal="center" vertical="center"/>
    </xf>
    <xf numFmtId="0" fontId="13" fillId="0" borderId="9" xfId="13" applyBorder="1" applyAlignment="1">
      <alignment horizontal="center" vertical="center"/>
    </xf>
    <xf numFmtId="0" fontId="13" fillId="14" borderId="9" xfId="13" applyFill="1" applyBorder="1" applyAlignment="1">
      <alignment horizontal="center" vertical="center"/>
    </xf>
    <xf numFmtId="0" fontId="13" fillId="14" borderId="9" xfId="13" applyFill="1" applyBorder="1" applyAlignment="1">
      <alignment horizontal="center" vertical="center" shrinkToFit="1"/>
    </xf>
    <xf numFmtId="0" fontId="13" fillId="14" borderId="45" xfId="13" applyFill="1" applyBorder="1" applyAlignment="1">
      <alignment horizontal="center" vertical="center"/>
    </xf>
    <xf numFmtId="0" fontId="13" fillId="10" borderId="50" xfId="13" applyFill="1" applyBorder="1">
      <alignment vertical="center"/>
    </xf>
    <xf numFmtId="0" fontId="13" fillId="10" borderId="51" xfId="13" applyFill="1" applyBorder="1">
      <alignment vertical="center"/>
    </xf>
    <xf numFmtId="0" fontId="13" fillId="10" borderId="52" xfId="13" applyFill="1" applyBorder="1">
      <alignment vertical="center"/>
    </xf>
    <xf numFmtId="38" fontId="0" fillId="10" borderId="8" xfId="14" applyFont="1" applyFill="1" applyBorder="1" applyAlignment="1">
      <alignment vertical="center"/>
    </xf>
    <xf numFmtId="0" fontId="13" fillId="10" borderId="8" xfId="13" applyFill="1" applyBorder="1">
      <alignment vertical="center"/>
    </xf>
    <xf numFmtId="0" fontId="13" fillId="10" borderId="11" xfId="13" applyFill="1" applyBorder="1">
      <alignment vertical="center"/>
    </xf>
    <xf numFmtId="14" fontId="13" fillId="14" borderId="9" xfId="13" applyNumberFormat="1" applyFill="1" applyBorder="1" applyAlignment="1">
      <alignment horizontal="center" vertical="center"/>
    </xf>
    <xf numFmtId="0" fontId="13" fillId="0" borderId="9" xfId="13" applyBorder="1" applyAlignment="1">
      <alignment horizontal="center" vertical="center" shrinkToFit="1"/>
    </xf>
    <xf numFmtId="0" fontId="13" fillId="0" borderId="9" xfId="13" applyBorder="1">
      <alignment vertical="center"/>
    </xf>
    <xf numFmtId="0" fontId="13" fillId="0" borderId="9" xfId="13" applyBorder="1" applyAlignment="1">
      <alignment vertical="center" wrapText="1"/>
    </xf>
    <xf numFmtId="176" fontId="13" fillId="0" borderId="9" xfId="13" applyNumberFormat="1" applyBorder="1" applyAlignment="1">
      <alignment horizontal="center" vertical="center"/>
    </xf>
    <xf numFmtId="14" fontId="13" fillId="0" borderId="45" xfId="13" applyNumberFormat="1" applyBorder="1" applyAlignment="1">
      <alignment horizontal="center" vertical="center"/>
    </xf>
    <xf numFmtId="0" fontId="13" fillId="0" borderId="53" xfId="13" applyBorder="1" applyAlignment="1">
      <alignment horizontal="center" vertical="center"/>
    </xf>
    <xf numFmtId="14" fontId="13" fillId="0" borderId="46" xfId="13" applyNumberFormat="1" applyBorder="1" applyAlignment="1">
      <alignment horizontal="center" vertical="center"/>
    </xf>
    <xf numFmtId="3" fontId="13" fillId="0" borderId="9" xfId="13" applyNumberFormat="1" applyBorder="1">
      <alignment vertical="center"/>
    </xf>
    <xf numFmtId="0" fontId="13" fillId="0" borderId="0" xfId="13" applyAlignment="1">
      <alignment vertical="center" shrinkToFit="1"/>
    </xf>
    <xf numFmtId="38" fontId="13" fillId="0" borderId="0" xfId="14" applyAlignment="1">
      <alignment horizontal="center" vertical="center"/>
    </xf>
    <xf numFmtId="38" fontId="13" fillId="0" borderId="0" xfId="14" applyAlignment="1">
      <alignment vertical="center"/>
    </xf>
    <xf numFmtId="177" fontId="13" fillId="0" borderId="0" xfId="13" applyNumberFormat="1" applyAlignment="1">
      <alignment horizontal="center" vertical="center"/>
    </xf>
    <xf numFmtId="38" fontId="13" fillId="10" borderId="10" xfId="14" applyFill="1" applyBorder="1" applyAlignment="1">
      <alignment horizontal="center" vertical="center"/>
    </xf>
    <xf numFmtId="176" fontId="13" fillId="10" borderId="10" xfId="13" applyNumberFormat="1" applyFill="1" applyBorder="1" applyAlignment="1">
      <alignment horizontal="center" vertical="center"/>
    </xf>
    <xf numFmtId="177" fontId="13" fillId="10" borderId="10" xfId="13" applyNumberFormat="1" applyFill="1" applyBorder="1" applyAlignment="1">
      <alignment horizontal="center" vertical="center"/>
    </xf>
    <xf numFmtId="0" fontId="13" fillId="16" borderId="9" xfId="13" applyFill="1" applyBorder="1" applyAlignment="1">
      <alignment horizontal="center" vertical="center"/>
    </xf>
    <xf numFmtId="0" fontId="13" fillId="10" borderId="52" xfId="13" applyFill="1" applyBorder="1" applyAlignment="1">
      <alignment vertical="center" wrapText="1"/>
    </xf>
    <xf numFmtId="38" fontId="13" fillId="10" borderId="8" xfId="14" applyFill="1" applyBorder="1" applyAlignment="1">
      <alignment horizontal="center" vertical="center"/>
    </xf>
    <xf numFmtId="38" fontId="13" fillId="10" borderId="8" xfId="14" applyFill="1" applyBorder="1" applyAlignment="1">
      <alignment vertical="center"/>
    </xf>
    <xf numFmtId="176" fontId="13" fillId="10" borderId="8" xfId="13" applyNumberFormat="1" applyFill="1" applyBorder="1">
      <alignment vertical="center"/>
    </xf>
    <xf numFmtId="0" fontId="13" fillId="10" borderId="50" xfId="13" applyFill="1" applyBorder="1" applyAlignment="1">
      <alignment horizontal="center" vertical="center"/>
    </xf>
    <xf numFmtId="0" fontId="13" fillId="10" borderId="11" xfId="13" applyFill="1" applyBorder="1" applyAlignment="1">
      <alignment horizontal="center" vertical="center"/>
    </xf>
    <xf numFmtId="177" fontId="13" fillId="10" borderId="8" xfId="13" applyNumberFormat="1" applyFill="1" applyBorder="1" applyAlignment="1">
      <alignment horizontal="center" vertical="center"/>
    </xf>
    <xf numFmtId="0" fontId="13" fillId="10" borderId="8" xfId="13" applyFill="1" applyBorder="1" applyAlignment="1">
      <alignment horizontal="center" vertical="center"/>
    </xf>
    <xf numFmtId="0" fontId="16" fillId="0" borderId="0" xfId="13" applyFont="1">
      <alignment vertical="center"/>
    </xf>
    <xf numFmtId="0" fontId="13" fillId="0" borderId="54" xfId="13" applyBorder="1">
      <alignment vertical="center"/>
    </xf>
    <xf numFmtId="38" fontId="13" fillId="0" borderId="9" xfId="14" applyFill="1" applyBorder="1" applyAlignment="1">
      <alignment horizontal="center" vertical="center"/>
    </xf>
    <xf numFmtId="38" fontId="13" fillId="0" borderId="9" xfId="14" applyFill="1" applyBorder="1" applyAlignment="1">
      <alignment vertical="center"/>
    </xf>
    <xf numFmtId="177" fontId="13" fillId="0" borderId="9" xfId="13" applyNumberFormat="1" applyBorder="1" applyAlignment="1">
      <alignment horizontal="center" vertical="center"/>
    </xf>
    <xf numFmtId="56" fontId="13" fillId="0" borderId="9" xfId="13" applyNumberFormat="1" applyBorder="1" applyAlignment="1">
      <alignment horizontal="center" vertical="center"/>
    </xf>
    <xf numFmtId="38" fontId="13" fillId="0" borderId="55" xfId="14" applyFill="1" applyBorder="1" applyAlignment="1">
      <alignment vertical="center"/>
    </xf>
    <xf numFmtId="0" fontId="13" fillId="10" borderId="9" xfId="13" applyFill="1" applyBorder="1" applyAlignment="1">
      <alignment horizontal="center" vertical="center"/>
    </xf>
    <xf numFmtId="178" fontId="8" fillId="4" borderId="0" xfId="0" applyNumberFormat="1" applyFont="1" applyFill="1">
      <alignment vertical="center"/>
    </xf>
    <xf numFmtId="0" fontId="0" fillId="4" borderId="0" xfId="4" applyFont="1" applyFill="1" applyBorder="1">
      <alignment vertical="center"/>
    </xf>
    <xf numFmtId="0" fontId="32" fillId="4" borderId="10" xfId="0" applyFont="1" applyFill="1" applyBorder="1" applyAlignment="1">
      <alignment horizontal="center" vertical="center"/>
    </xf>
    <xf numFmtId="179" fontId="31" fillId="17" borderId="10" xfId="0" applyNumberFormat="1" applyFont="1" applyFill="1" applyBorder="1" applyAlignment="1">
      <alignment horizontal="center" vertical="center"/>
    </xf>
    <xf numFmtId="179" fontId="31" fillId="4" borderId="10" xfId="0" applyNumberFormat="1" applyFont="1" applyFill="1" applyBorder="1" applyAlignment="1">
      <alignment horizontal="center" vertical="center"/>
    </xf>
    <xf numFmtId="179" fontId="31" fillId="4" borderId="9" xfId="0" applyNumberFormat="1" applyFont="1" applyFill="1" applyBorder="1" applyAlignment="1">
      <alignment horizontal="center" vertical="center"/>
    </xf>
    <xf numFmtId="0" fontId="33" fillId="0" borderId="0" xfId="0" applyFont="1" applyAlignment="1">
      <alignment horizontal="right" vertical="center"/>
    </xf>
    <xf numFmtId="178" fontId="8" fillId="15" borderId="62" xfId="4" applyNumberFormat="1" applyFont="1" applyFill="1" applyBorder="1" applyAlignment="1">
      <alignment horizontal="center" vertical="center"/>
    </xf>
    <xf numFmtId="0" fontId="0" fillId="15" borderId="0" xfId="4" applyFont="1" applyFill="1" applyBorder="1">
      <alignment vertical="center"/>
    </xf>
    <xf numFmtId="0" fontId="0" fillId="15" borderId="0" xfId="0" applyFill="1">
      <alignment vertical="center"/>
    </xf>
    <xf numFmtId="0" fontId="8" fillId="15" borderId="0" xfId="4" applyFont="1" applyFill="1" applyBorder="1">
      <alignment vertical="center"/>
    </xf>
    <xf numFmtId="0" fontId="0" fillId="0" borderId="5" xfId="0" applyBorder="1" applyAlignment="1">
      <alignment vertical="center" wrapText="1"/>
    </xf>
    <xf numFmtId="14" fontId="5" fillId="19" borderId="0" xfId="5" applyNumberFormat="1" applyFill="1">
      <alignment vertical="center"/>
    </xf>
    <xf numFmtId="0" fontId="30" fillId="19" borderId="0" xfId="13" applyFont="1" applyFill="1">
      <alignment vertical="center"/>
    </xf>
    <xf numFmtId="0" fontId="39" fillId="18" borderId="0" xfId="5" applyFont="1" applyFill="1" applyAlignment="1">
      <alignment vertical="center" wrapText="1"/>
    </xf>
    <xf numFmtId="0" fontId="40" fillId="18" borderId="0" xfId="5" applyFont="1" applyFill="1" applyAlignment="1">
      <alignment vertical="center" wrapText="1"/>
    </xf>
    <xf numFmtId="0" fontId="38" fillId="0" borderId="0" xfId="13" applyFont="1">
      <alignment vertical="center"/>
    </xf>
    <xf numFmtId="0" fontId="30" fillId="0" borderId="0" xfId="13" applyFont="1">
      <alignment vertical="center"/>
    </xf>
    <xf numFmtId="0" fontId="39" fillId="19" borderId="0" xfId="5" applyFont="1" applyFill="1">
      <alignment vertical="center"/>
    </xf>
    <xf numFmtId="0" fontId="39" fillId="19" borderId="0" xfId="5" applyFont="1" applyFill="1" applyAlignment="1">
      <alignment horizontal="center" vertical="center"/>
    </xf>
    <xf numFmtId="0" fontId="30" fillId="0" borderId="0" xfId="13" applyFont="1" applyAlignment="1">
      <alignment horizontal="center" vertical="center"/>
    </xf>
    <xf numFmtId="38" fontId="30" fillId="0" borderId="0" xfId="14" applyFont="1" applyAlignment="1">
      <alignment vertical="center"/>
    </xf>
    <xf numFmtId="176" fontId="30" fillId="0" borderId="0" xfId="13" applyNumberFormat="1" applyFont="1">
      <alignment vertical="center"/>
    </xf>
    <xf numFmtId="177" fontId="30" fillId="0" borderId="0" xfId="13" applyNumberFormat="1" applyFont="1" applyAlignment="1">
      <alignment horizontal="center" vertical="center"/>
    </xf>
    <xf numFmtId="0" fontId="41" fillId="0" borderId="0" xfId="0" applyFont="1">
      <alignment vertical="center"/>
    </xf>
    <xf numFmtId="0" fontId="30" fillId="19" borderId="0" xfId="13" applyFont="1" applyFill="1" applyAlignment="1">
      <alignment horizontal="center" vertical="center"/>
    </xf>
    <xf numFmtId="38" fontId="30" fillId="19" borderId="0" xfId="14" applyFont="1" applyFill="1" applyAlignment="1">
      <alignment horizontal="center" vertical="center"/>
    </xf>
    <xf numFmtId="0" fontId="39" fillId="19" borderId="0" xfId="5" applyFont="1" applyFill="1" applyAlignment="1">
      <alignment horizontal="center" vertical="center" wrapText="1"/>
    </xf>
    <xf numFmtId="0" fontId="40" fillId="19" borderId="0" xfId="5" applyFont="1" applyFill="1" applyAlignment="1">
      <alignment horizontal="center" vertical="center" wrapText="1"/>
    </xf>
    <xf numFmtId="0" fontId="39" fillId="19" borderId="0" xfId="5" applyFont="1" applyFill="1" applyAlignment="1">
      <alignment horizontal="right" vertical="center"/>
    </xf>
    <xf numFmtId="0" fontId="39" fillId="0" borderId="0" xfId="5" applyFont="1">
      <alignment vertical="center"/>
    </xf>
    <xf numFmtId="38" fontId="39" fillId="0" borderId="0" xfId="5" applyNumberFormat="1" applyFont="1" applyAlignment="1">
      <alignment vertical="center" wrapText="1"/>
    </xf>
    <xf numFmtId="38" fontId="39" fillId="19" borderId="0" xfId="5" quotePrefix="1" applyNumberFormat="1" applyFont="1" applyFill="1" applyAlignment="1">
      <alignment vertical="center"/>
    </xf>
    <xf numFmtId="0" fontId="39" fillId="19" borderId="0" xfId="5" applyFont="1" applyFill="1" applyAlignment="1">
      <alignment vertical="center" wrapText="1"/>
    </xf>
    <xf numFmtId="0" fontId="39" fillId="0" borderId="0" xfId="5" applyFont="1" applyAlignment="1">
      <alignment vertical="center" wrapText="1"/>
    </xf>
    <xf numFmtId="14" fontId="39" fillId="19" borderId="0" xfId="5" applyNumberFormat="1" applyFont="1" applyFill="1">
      <alignment vertical="center"/>
    </xf>
    <xf numFmtId="176" fontId="39" fillId="19" borderId="0" xfId="5" applyNumberFormat="1" applyFont="1" applyFill="1">
      <alignment vertical="center"/>
    </xf>
    <xf numFmtId="176" fontId="39" fillId="19" borderId="0" xfId="5" applyNumberFormat="1" applyFont="1" applyFill="1" applyAlignment="1">
      <alignment vertical="center" wrapText="1"/>
    </xf>
    <xf numFmtId="0" fontId="39" fillId="5" borderId="0" xfId="5" applyFont="1" applyFill="1" applyAlignment="1">
      <alignment vertical="center" wrapText="1"/>
    </xf>
    <xf numFmtId="179" fontId="31" fillId="17" borderId="9" xfId="0" applyNumberFormat="1" applyFont="1" applyFill="1" applyBorder="1" applyAlignment="1">
      <alignment horizontal="center" vertical="center"/>
    </xf>
    <xf numFmtId="0" fontId="35" fillId="3" borderId="3" xfId="4" applyFont="1" applyBorder="1" applyAlignment="1">
      <alignment vertical="center" wrapText="1"/>
    </xf>
    <xf numFmtId="0" fontId="42" fillId="3" borderId="3" xfId="4" applyFont="1" applyBorder="1" applyAlignment="1">
      <alignment vertical="center" wrapText="1"/>
    </xf>
    <xf numFmtId="0" fontId="0" fillId="0" borderId="0" xfId="0" applyAlignment="1">
      <alignment vertical="center" wrapText="1"/>
    </xf>
    <xf numFmtId="0" fontId="4" fillId="3" borderId="30" xfId="4" applyFont="1" applyBorder="1" applyAlignment="1">
      <alignment vertical="center" wrapText="1"/>
    </xf>
    <xf numFmtId="0" fontId="4" fillId="3" borderId="32" xfId="4" applyFont="1" applyBorder="1" applyAlignment="1">
      <alignment vertical="center" wrapText="1"/>
    </xf>
    <xf numFmtId="0" fontId="4" fillId="3" borderId="35" xfId="4" applyFont="1" applyBorder="1" applyAlignment="1">
      <alignment vertical="center" wrapText="1"/>
    </xf>
    <xf numFmtId="0" fontId="4" fillId="3" borderId="41" xfId="4" applyFont="1" applyBorder="1" applyAlignment="1">
      <alignment vertical="center" wrapText="1"/>
    </xf>
    <xf numFmtId="0" fontId="4" fillId="3" borderId="44" xfId="4" applyFont="1" applyBorder="1" applyAlignment="1">
      <alignment vertical="center" wrapText="1"/>
    </xf>
    <xf numFmtId="0" fontId="11" fillId="0" borderId="0" xfId="0" applyFont="1">
      <alignment vertical="center"/>
    </xf>
    <xf numFmtId="0" fontId="11" fillId="0" borderId="62" xfId="0" applyFont="1" applyBorder="1">
      <alignment vertical="center"/>
    </xf>
    <xf numFmtId="14" fontId="43" fillId="0" borderId="62" xfId="0" applyNumberFormat="1" applyFont="1" applyBorder="1" applyAlignment="1">
      <alignment horizontal="left" vertical="center"/>
    </xf>
    <xf numFmtId="0" fontId="11" fillId="0" borderId="63" xfId="0" applyFont="1" applyBorder="1">
      <alignment vertical="center"/>
    </xf>
    <xf numFmtId="0" fontId="9" fillId="0" borderId="62" xfId="0" applyFont="1" applyBorder="1">
      <alignment vertical="center"/>
    </xf>
    <xf numFmtId="0" fontId="44" fillId="4" borderId="40" xfId="12" applyFont="1" applyFill="1" applyBorder="1" applyAlignment="1">
      <alignment horizontal="left" vertical="center" wrapText="1"/>
    </xf>
    <xf numFmtId="0" fontId="44" fillId="0" borderId="29" xfId="0" applyFont="1" applyBorder="1" applyAlignment="1">
      <alignment vertical="center" wrapText="1"/>
    </xf>
    <xf numFmtId="0" fontId="44" fillId="0" borderId="15" xfId="0" applyFont="1" applyBorder="1" applyAlignment="1">
      <alignment vertical="center" wrapText="1"/>
    </xf>
    <xf numFmtId="0" fontId="44" fillId="0" borderId="43" xfId="0" quotePrefix="1" applyFont="1" applyBorder="1" applyAlignment="1">
      <alignment vertical="center" wrapText="1"/>
    </xf>
    <xf numFmtId="3" fontId="0" fillId="0" borderId="0" xfId="0" applyNumberFormat="1">
      <alignment vertical="center"/>
    </xf>
    <xf numFmtId="0" fontId="45" fillId="3" borderId="3" xfId="4" applyFont="1" applyBorder="1">
      <alignment vertical="center"/>
    </xf>
    <xf numFmtId="0" fontId="35" fillId="3" borderId="3" xfId="4" applyFont="1" applyBorder="1">
      <alignment vertical="center"/>
    </xf>
    <xf numFmtId="0" fontId="0" fillId="0" borderId="9" xfId="0" applyBorder="1">
      <alignment vertical="center"/>
    </xf>
    <xf numFmtId="0" fontId="6" fillId="0" borderId="0" xfId="1" applyFont="1">
      <alignment vertical="center"/>
    </xf>
    <xf numFmtId="14" fontId="48" fillId="0" borderId="0" xfId="0" applyNumberFormat="1" applyFont="1" applyAlignment="1">
      <alignment horizontal="center" vertical="center" wrapText="1"/>
    </xf>
    <xf numFmtId="0" fontId="48" fillId="0" borderId="0" xfId="0" applyFont="1" applyAlignment="1">
      <alignment vertical="center" wrapText="1"/>
    </xf>
    <xf numFmtId="0" fontId="49" fillId="20" borderId="29" xfId="11" applyFont="1" applyFill="1" applyBorder="1" applyAlignment="1">
      <alignment horizontal="center" vertical="center" wrapText="1"/>
    </xf>
    <xf numFmtId="0" fontId="50" fillId="3" borderId="30" xfId="4" applyFont="1" applyBorder="1" applyAlignment="1">
      <alignment vertical="center" wrapText="1"/>
    </xf>
    <xf numFmtId="0" fontId="50" fillId="3" borderId="32" xfId="4" applyFont="1" applyBorder="1" applyAlignment="1">
      <alignment vertical="center" wrapText="1"/>
    </xf>
    <xf numFmtId="0" fontId="50" fillId="3" borderId="35" xfId="4" applyFont="1" applyBorder="1" applyAlignment="1">
      <alignment vertical="center" wrapText="1"/>
    </xf>
    <xf numFmtId="0" fontId="50" fillId="3" borderId="40" xfId="4" quotePrefix="1" applyFont="1" applyBorder="1" applyAlignment="1">
      <alignment vertical="center" wrapText="1"/>
    </xf>
    <xf numFmtId="0" fontId="44" fillId="21" borderId="29" xfId="0" applyFont="1" applyFill="1" applyBorder="1" applyAlignment="1">
      <alignment vertical="center" wrapText="1"/>
    </xf>
    <xf numFmtId="0" fontId="50" fillId="3" borderId="32" xfId="4" quotePrefix="1" applyFont="1" applyBorder="1" applyAlignment="1">
      <alignment vertical="center" wrapText="1"/>
    </xf>
    <xf numFmtId="0" fontId="50" fillId="3" borderId="41" xfId="4" applyFont="1" applyBorder="1" applyAlignment="1">
      <alignment vertical="center" wrapText="1"/>
    </xf>
    <xf numFmtId="0" fontId="50" fillId="3" borderId="44" xfId="4" applyFont="1" applyBorder="1" applyAlignment="1">
      <alignment vertical="center" wrapText="1"/>
    </xf>
    <xf numFmtId="0" fontId="0" fillId="4" borderId="0" xfId="0" applyFill="1" applyAlignment="1">
      <alignment vertical="center" wrapText="1"/>
    </xf>
    <xf numFmtId="0" fontId="5" fillId="4" borderId="0" xfId="5" applyFill="1">
      <alignment vertical="center"/>
    </xf>
    <xf numFmtId="0" fontId="8" fillId="0" borderId="39" xfId="0" applyFont="1" applyBorder="1">
      <alignment vertical="center"/>
    </xf>
    <xf numFmtId="0" fontId="8" fillId="0" borderId="64" xfId="0" applyFont="1" applyBorder="1">
      <alignment vertical="center"/>
    </xf>
    <xf numFmtId="0" fontId="3" fillId="5" borderId="64" xfId="2" applyFill="1" applyBorder="1" applyAlignment="1">
      <alignment vertical="center" wrapText="1"/>
    </xf>
    <xf numFmtId="0" fontId="3" fillId="5" borderId="64" xfId="2" applyFill="1" applyBorder="1">
      <alignment vertical="center"/>
    </xf>
    <xf numFmtId="0" fontId="3" fillId="5" borderId="65" xfId="2" applyFill="1" applyBorder="1">
      <alignment vertical="center"/>
    </xf>
    <xf numFmtId="0" fontId="24" fillId="4" borderId="64" xfId="0" applyFont="1" applyFill="1" applyBorder="1">
      <alignment vertical="center"/>
    </xf>
    <xf numFmtId="0" fontId="51" fillId="4" borderId="64" xfId="0" applyFont="1" applyFill="1" applyBorder="1" applyAlignment="1">
      <alignment vertical="center" wrapText="1"/>
    </xf>
    <xf numFmtId="0" fontId="0" fillId="0" borderId="64" xfId="0" applyBorder="1" applyAlignment="1">
      <alignment vertical="center" wrapText="1"/>
    </xf>
    <xf numFmtId="0" fontId="0" fillId="4" borderId="64" xfId="0" applyFill="1" applyBorder="1" applyAlignment="1">
      <alignment vertical="center" wrapText="1"/>
    </xf>
    <xf numFmtId="0" fontId="0" fillId="4" borderId="64" xfId="0" applyFill="1" applyBorder="1">
      <alignment vertical="center"/>
    </xf>
    <xf numFmtId="0" fontId="0" fillId="4" borderId="65" xfId="0" applyFill="1" applyBorder="1">
      <alignment vertical="center"/>
    </xf>
    <xf numFmtId="0" fontId="52" fillId="4" borderId="64" xfId="0" applyFont="1" applyFill="1" applyBorder="1">
      <alignment vertical="center"/>
    </xf>
    <xf numFmtId="0" fontId="53" fillId="4" borderId="0" xfId="5" applyFont="1" applyFill="1">
      <alignment vertical="center"/>
    </xf>
    <xf numFmtId="0" fontId="8" fillId="0" borderId="0" xfId="0" applyFont="1">
      <alignment vertical="center"/>
    </xf>
    <xf numFmtId="0" fontId="8" fillId="0" borderId="65" xfId="0" applyFont="1" applyBorder="1">
      <alignment vertical="center"/>
    </xf>
    <xf numFmtId="0" fontId="14" fillId="0" borderId="0" xfId="0" quotePrefix="1" applyFont="1">
      <alignment vertical="center"/>
    </xf>
    <xf numFmtId="0" fontId="0" fillId="4" borderId="39" xfId="0" applyFill="1" applyBorder="1">
      <alignment vertical="center"/>
    </xf>
    <xf numFmtId="0" fontId="24" fillId="4" borderId="64" xfId="0" applyFont="1" applyFill="1" applyBorder="1" applyAlignment="1">
      <alignment horizontal="center" vertical="center"/>
    </xf>
    <xf numFmtId="0" fontId="24" fillId="4" borderId="65" xfId="0" applyFont="1" applyFill="1" applyBorder="1">
      <alignment vertical="center"/>
    </xf>
    <xf numFmtId="0" fontId="0" fillId="4" borderId="28" xfId="0" applyFill="1" applyBorder="1">
      <alignment vertical="center"/>
    </xf>
    <xf numFmtId="0" fontId="24" fillId="4" borderId="66" xfId="0" applyFont="1" applyFill="1" applyBorder="1">
      <alignment vertical="center"/>
    </xf>
    <xf numFmtId="0" fontId="24" fillId="4" borderId="66" xfId="0" applyFont="1" applyFill="1" applyBorder="1" applyAlignment="1">
      <alignment horizontal="center" vertical="center"/>
    </xf>
    <xf numFmtId="0" fontId="0" fillId="4" borderId="31" xfId="0" applyFill="1" applyBorder="1">
      <alignment vertical="center"/>
    </xf>
    <xf numFmtId="0" fontId="24" fillId="4" borderId="3" xfId="0" applyFont="1" applyFill="1" applyBorder="1">
      <alignment vertical="center"/>
    </xf>
    <xf numFmtId="0" fontId="24" fillId="4" borderId="3" xfId="0" applyFont="1" applyFill="1" applyBorder="1" applyAlignment="1">
      <alignment horizontal="center" vertical="center"/>
    </xf>
    <xf numFmtId="0" fontId="54" fillId="4" borderId="0" xfId="0" applyFont="1" applyFill="1">
      <alignment vertical="center"/>
    </xf>
    <xf numFmtId="0" fontId="0" fillId="4" borderId="33" xfId="0" applyFill="1" applyBorder="1">
      <alignment vertical="center"/>
    </xf>
    <xf numFmtId="0" fontId="24" fillId="4" borderId="67" xfId="0" applyFont="1" applyFill="1" applyBorder="1">
      <alignment vertical="center"/>
    </xf>
    <xf numFmtId="0" fontId="24" fillId="4" borderId="67" xfId="0" applyFont="1" applyFill="1" applyBorder="1" applyAlignment="1">
      <alignment horizontal="center" vertical="center"/>
    </xf>
    <xf numFmtId="0" fontId="24" fillId="4" borderId="0" xfId="0" applyFont="1" applyFill="1">
      <alignment vertical="center"/>
    </xf>
    <xf numFmtId="0" fontId="55" fillId="3" borderId="2" xfId="4" applyFont="1" applyAlignment="1">
      <alignment horizontal="center" vertical="center" wrapText="1"/>
    </xf>
    <xf numFmtId="0" fontId="55" fillId="3" borderId="68" xfId="4" applyFont="1" applyBorder="1" applyAlignment="1">
      <alignment horizontal="left" vertical="center" wrapText="1"/>
    </xf>
    <xf numFmtId="180" fontId="0" fillId="0" borderId="9" xfId="0" applyNumberFormat="1" applyBorder="1" applyAlignment="1">
      <alignment horizontal="center" vertical="center"/>
    </xf>
    <xf numFmtId="0" fontId="0" fillId="22" borderId="69" xfId="0" applyFill="1" applyBorder="1" applyAlignment="1">
      <alignment horizontal="left" vertical="center"/>
    </xf>
    <xf numFmtId="0" fontId="0" fillId="0" borderId="0" xfId="0" applyAlignment="1">
      <alignment horizontal="left" vertical="center"/>
    </xf>
    <xf numFmtId="0" fontId="8" fillId="0" borderId="0" xfId="0" applyFont="1" applyAlignment="1">
      <alignment horizontal="left" vertical="center"/>
    </xf>
    <xf numFmtId="0" fontId="0" fillId="0" borderId="69" xfId="0" applyBorder="1" applyAlignment="1">
      <alignment horizontal="left" vertical="center"/>
    </xf>
    <xf numFmtId="0" fontId="0" fillId="0" borderId="9" xfId="0" applyBorder="1" applyAlignment="1">
      <alignment horizontal="center" vertical="center"/>
    </xf>
    <xf numFmtId="0" fontId="24" fillId="4" borderId="64" xfId="0" applyFont="1" applyFill="1" applyBorder="1" applyAlignment="1">
      <alignment vertical="center" wrapText="1"/>
    </xf>
    <xf numFmtId="0" fontId="11" fillId="4" borderId="70" xfId="0" applyFont="1" applyFill="1" applyBorder="1" applyAlignment="1">
      <alignment horizontal="center" vertical="center"/>
    </xf>
    <xf numFmtId="0" fontId="11" fillId="4" borderId="71" xfId="0" applyFont="1" applyFill="1" applyBorder="1" applyAlignment="1">
      <alignment horizontal="center" vertical="center"/>
    </xf>
    <xf numFmtId="0" fontId="19" fillId="4" borderId="67" xfId="0" applyFont="1" applyFill="1" applyBorder="1" applyAlignment="1">
      <alignment horizontal="center" vertical="center"/>
    </xf>
    <xf numFmtId="0" fontId="11" fillId="4" borderId="74" xfId="0" applyFont="1" applyFill="1" applyBorder="1">
      <alignment vertical="center"/>
    </xf>
    <xf numFmtId="0" fontId="24" fillId="3" borderId="74" xfId="4" applyFont="1" applyBorder="1">
      <alignment vertical="center"/>
    </xf>
    <xf numFmtId="0" fontId="12" fillId="2" borderId="74" xfId="3" applyFont="1" applyBorder="1">
      <alignment vertical="center"/>
    </xf>
    <xf numFmtId="0" fontId="5" fillId="2" borderId="74" xfId="5" applyFill="1" applyBorder="1">
      <alignment vertical="center"/>
    </xf>
    <xf numFmtId="49" fontId="0" fillId="4" borderId="39" xfId="0" applyNumberFormat="1" applyFill="1" applyBorder="1">
      <alignment vertical="center"/>
    </xf>
    <xf numFmtId="0" fontId="13" fillId="0" borderId="9" xfId="13" applyBorder="1" applyAlignment="1">
      <alignment vertical="center" shrinkToFit="1"/>
    </xf>
    <xf numFmtId="176" fontId="13" fillId="0" borderId="9" xfId="13" applyNumberFormat="1" applyBorder="1">
      <alignment vertical="center"/>
    </xf>
    <xf numFmtId="14" fontId="13" fillId="0" borderId="9" xfId="13" applyNumberFormat="1" applyBorder="1" applyAlignment="1">
      <alignment horizontal="center" vertical="center"/>
    </xf>
    <xf numFmtId="55" fontId="0" fillId="0" borderId="9" xfId="0" applyNumberFormat="1" applyBorder="1" applyAlignment="1">
      <alignment horizontal="center" vertical="center"/>
    </xf>
    <xf numFmtId="14" fontId="0" fillId="0" borderId="9" xfId="0" applyNumberFormat="1" applyBorder="1" applyAlignment="1">
      <alignment horizontal="center" vertical="center"/>
    </xf>
    <xf numFmtId="14" fontId="0" fillId="0" borderId="9" xfId="0" applyNumberFormat="1" applyBorder="1">
      <alignment vertical="center"/>
    </xf>
    <xf numFmtId="0" fontId="11" fillId="5" borderId="56" xfId="0" applyFont="1" applyFill="1" applyBorder="1">
      <alignment vertical="center"/>
    </xf>
    <xf numFmtId="0" fontId="11" fillId="5" borderId="57" xfId="0" applyFont="1" applyFill="1" applyBorder="1">
      <alignment vertical="center"/>
    </xf>
    <xf numFmtId="0" fontId="11" fillId="5" borderId="58" xfId="0" applyFont="1" applyFill="1" applyBorder="1">
      <alignment vertical="center"/>
    </xf>
    <xf numFmtId="0" fontId="22" fillId="8" borderId="59" xfId="10" applyFont="1" applyFill="1" applyBorder="1">
      <alignment vertical="center"/>
    </xf>
    <xf numFmtId="0" fontId="22" fillId="8" borderId="60" xfId="10" applyFont="1" applyFill="1" applyBorder="1">
      <alignment vertical="center"/>
    </xf>
    <xf numFmtId="0" fontId="21" fillId="4" borderId="18" xfId="4" applyFont="1" applyFill="1" applyBorder="1" applyAlignment="1">
      <alignment vertical="center" wrapText="1"/>
    </xf>
    <xf numFmtId="0" fontId="21" fillId="4" borderId="19" xfId="4" applyFont="1" applyFill="1" applyBorder="1" applyAlignment="1">
      <alignment vertical="center" wrapText="1"/>
    </xf>
    <xf numFmtId="0" fontId="21" fillId="7" borderId="61" xfId="4" applyFont="1" applyFill="1" applyBorder="1" applyAlignment="1">
      <alignment vertical="center" wrapText="1"/>
    </xf>
    <xf numFmtId="0" fontId="21" fillId="7" borderId="21" xfId="4" applyFont="1" applyFill="1" applyBorder="1" applyAlignment="1">
      <alignment vertical="center" wrapText="1"/>
    </xf>
    <xf numFmtId="0" fontId="21" fillId="7" borderId="22" xfId="4" applyFont="1" applyFill="1" applyBorder="1" applyAlignment="1">
      <alignment vertical="center" wrapText="1"/>
    </xf>
    <xf numFmtId="0" fontId="20" fillId="8" borderId="16" xfId="10" applyFont="1" applyFill="1" applyBorder="1" applyAlignment="1">
      <alignment horizontal="left" vertical="center"/>
    </xf>
    <xf numFmtId="0" fontId="20" fillId="8" borderId="11" xfId="10" applyFont="1" applyFill="1" applyBorder="1" applyAlignment="1">
      <alignment horizontal="left" vertical="center"/>
    </xf>
    <xf numFmtId="0" fontId="23" fillId="8" borderId="16" xfId="10" applyFont="1" applyFill="1" applyBorder="1" applyAlignment="1">
      <alignment horizontal="left" vertical="center"/>
    </xf>
    <xf numFmtId="0" fontId="23" fillId="8" borderId="11" xfId="10" applyFont="1" applyFill="1" applyBorder="1" applyAlignment="1">
      <alignment horizontal="left" vertical="center"/>
    </xf>
    <xf numFmtId="0" fontId="23" fillId="8" borderId="17" xfId="10" applyFont="1" applyFill="1" applyBorder="1" applyAlignment="1">
      <alignment horizontal="left" vertical="center"/>
    </xf>
    <xf numFmtId="0" fontId="46" fillId="7" borderId="61" xfId="11" applyFont="1" applyFill="1" applyBorder="1" applyAlignment="1">
      <alignment vertical="center" wrapText="1"/>
    </xf>
    <xf numFmtId="0" fontId="47" fillId="7" borderId="21" xfId="11" applyFont="1" applyFill="1" applyBorder="1" applyAlignment="1">
      <alignment vertical="center" wrapText="1"/>
    </xf>
    <xf numFmtId="0" fontId="47" fillId="7" borderId="22" xfId="11" applyFont="1" applyFill="1" applyBorder="1" applyAlignment="1">
      <alignment vertical="center" wrapText="1"/>
    </xf>
    <xf numFmtId="0" fontId="21" fillId="4" borderId="21" xfId="4" applyFont="1" applyFill="1" applyBorder="1" applyAlignment="1">
      <alignment vertical="center" wrapText="1"/>
    </xf>
    <xf numFmtId="0" fontId="21" fillId="4" borderId="22" xfId="4" applyFont="1" applyFill="1" applyBorder="1" applyAlignment="1">
      <alignment vertical="center" wrapText="1"/>
    </xf>
    <xf numFmtId="0" fontId="21" fillId="7" borderId="61" xfId="4" applyFont="1" applyFill="1" applyBorder="1">
      <alignment vertical="center"/>
    </xf>
    <xf numFmtId="0" fontId="21" fillId="7" borderId="21" xfId="4" applyFont="1" applyFill="1" applyBorder="1">
      <alignment vertical="center"/>
    </xf>
    <xf numFmtId="0" fontId="21" fillId="7" borderId="22" xfId="4" applyFont="1" applyFill="1" applyBorder="1">
      <alignment vertical="center"/>
    </xf>
    <xf numFmtId="0" fontId="21" fillId="4" borderId="72" xfId="4" applyFont="1" applyFill="1" applyBorder="1" applyAlignment="1">
      <alignment vertical="center" wrapText="1"/>
    </xf>
    <xf numFmtId="0" fontId="21" fillId="4" borderId="73" xfId="4" applyFont="1" applyFill="1" applyBorder="1" applyAlignment="1">
      <alignment vertical="center" wrapText="1"/>
    </xf>
    <xf numFmtId="0" fontId="13" fillId="10" borderId="47" xfId="13" applyFill="1" applyBorder="1" applyAlignment="1">
      <alignment horizontal="center" vertical="center"/>
    </xf>
    <xf numFmtId="0" fontId="13" fillId="10" borderId="48" xfId="13" applyFill="1" applyBorder="1" applyAlignment="1">
      <alignment horizontal="center" vertical="center"/>
    </xf>
    <xf numFmtId="0" fontId="13" fillId="10" borderId="49" xfId="13" applyFill="1" applyBorder="1" applyAlignment="1">
      <alignment horizontal="center" vertical="center"/>
    </xf>
    <xf numFmtId="0" fontId="13" fillId="14" borderId="10" xfId="13" applyFill="1" applyBorder="1" applyAlignment="1">
      <alignment horizontal="center" vertical="center"/>
    </xf>
    <xf numFmtId="0" fontId="13" fillId="14" borderId="8" xfId="13" applyFill="1" applyBorder="1" applyAlignment="1">
      <alignment horizontal="center" vertical="center"/>
    </xf>
    <xf numFmtId="176" fontId="13" fillId="14" borderId="10" xfId="13" applyNumberFormat="1" applyFill="1" applyBorder="1" applyAlignment="1">
      <alignment horizontal="center" vertical="center"/>
    </xf>
    <xf numFmtId="176" fontId="13" fillId="14" borderId="8" xfId="13" applyNumberFormat="1" applyFill="1" applyBorder="1" applyAlignment="1">
      <alignment horizontal="center" vertical="center"/>
    </xf>
    <xf numFmtId="0" fontId="13" fillId="0" borderId="9" xfId="13" applyBorder="1" applyAlignment="1">
      <alignment horizontal="center" vertical="center"/>
    </xf>
    <xf numFmtId="0" fontId="13" fillId="10" borderId="45" xfId="13" applyFill="1" applyBorder="1" applyAlignment="1">
      <alignment horizontal="center" vertical="center"/>
    </xf>
    <xf numFmtId="0" fontId="13" fillId="10" borderId="46" xfId="13" applyFill="1" applyBorder="1" applyAlignment="1">
      <alignment horizontal="center" vertical="center"/>
    </xf>
    <xf numFmtId="0" fontId="13" fillId="11" borderId="45" xfId="13" applyFill="1" applyBorder="1" applyAlignment="1">
      <alignment horizontal="center" vertical="center"/>
    </xf>
    <xf numFmtId="0" fontId="13" fillId="11" borderId="46" xfId="13" applyFill="1" applyBorder="1" applyAlignment="1">
      <alignment horizontal="center" vertical="center"/>
    </xf>
    <xf numFmtId="0" fontId="13" fillId="12" borderId="9" xfId="13" applyFill="1" applyBorder="1" applyAlignment="1">
      <alignment horizontal="center" vertical="center"/>
    </xf>
    <xf numFmtId="0" fontId="13" fillId="13" borderId="9" xfId="13" applyFill="1" applyBorder="1" applyAlignment="1">
      <alignment horizontal="center" vertical="center"/>
    </xf>
    <xf numFmtId="0" fontId="13" fillId="6" borderId="9" xfId="13" applyFill="1" applyBorder="1" applyAlignment="1">
      <alignment horizontal="center" vertical="center"/>
    </xf>
    <xf numFmtId="0" fontId="13" fillId="0" borderId="10" xfId="13" applyBorder="1" applyAlignment="1">
      <alignment horizontal="center" vertical="center"/>
    </xf>
    <xf numFmtId="0" fontId="13" fillId="0" borderId="8" xfId="13" applyBorder="1" applyAlignment="1">
      <alignment horizontal="center" vertical="center"/>
    </xf>
  </cellXfs>
  <cellStyles count="15">
    <cellStyle name="タイトル" xfId="1" builtinId="15"/>
    <cellStyle name="ハイパーリンク" xfId="11" builtinId="8"/>
    <cellStyle name="メモ" xfId="4" builtinId="10"/>
    <cellStyle name="桁区切り 2" xfId="14" xr:uid="{622ACDCA-BCE1-4D63-BDE3-D4023CC2847E}"/>
    <cellStyle name="桁区切り 3" xfId="8" xr:uid="{71AED38E-5E4C-4316-B8CA-C7A4A76CCF9F}"/>
    <cellStyle name="桁区切り 3 2" xfId="7" xr:uid="{149BEE3F-2B22-485B-8117-2E7C8C457566}"/>
    <cellStyle name="見出し 2" xfId="10" builtinId="17"/>
    <cellStyle name="見出し 4" xfId="2" builtinId="19"/>
    <cellStyle name="出力" xfId="3" builtinId="21"/>
    <cellStyle name="説明文" xfId="5" builtinId="53"/>
    <cellStyle name="入力" xfId="12" builtinId="20"/>
    <cellStyle name="標準" xfId="0" builtinId="0"/>
    <cellStyle name="標準 2" xfId="13" xr:uid="{E21A8B82-1213-4056-8244-AE9E9438BC79}"/>
    <cellStyle name="標準 3 2" xfId="9" xr:uid="{6AEB4B5B-CF0C-4227-AB61-EE34ECC80928}"/>
    <cellStyle name="標準 8" xfId="6" xr:uid="{B4F768AF-9C55-49EA-99A0-7BAA1BC8A3C3}"/>
  </cellStyles>
  <dxfs count="36">
    <dxf>
      <font>
        <color theme="0"/>
      </font>
      <border>
        <top/>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99CCFF"/>
        </patternFill>
      </fill>
    </dxf>
    <dxf>
      <fill>
        <patternFill>
          <bgColor rgb="FFFFFF99"/>
        </patternFill>
      </fill>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ill>
        <patternFill>
          <bgColor rgb="FF99CCFF"/>
        </patternFill>
      </fill>
    </dxf>
    <dxf>
      <font>
        <b val="0"/>
        <i val="0"/>
        <strike val="0"/>
        <condense val="0"/>
        <extend val="0"/>
        <outline val="0"/>
        <shadow val="0"/>
        <u val="none"/>
        <vertAlign val="baseline"/>
        <sz val="8"/>
        <color theme="1"/>
        <name val="BIZ UDPゴシック"/>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BIZ UDPゴシック"/>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BIZ UDPゴシック"/>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BIZ UDPゴシック"/>
        <family val="3"/>
        <charset val="128"/>
        <scheme val="none"/>
      </font>
      <alignment horizontal="center" vertical="center" textRotation="0" wrapText="0" indent="0" justifyLastLine="0" shrinkToFit="0" readingOrder="0"/>
    </dxf>
    <dxf>
      <font>
        <color theme="0"/>
      </font>
      <border>
        <top/>
      </border>
    </dxf>
    <dxf>
      <font>
        <color theme="0"/>
      </font>
      <border>
        <top/>
      </border>
    </dxf>
  </dxfs>
  <tableStyles count="0" defaultTableStyle="TableStyleMedium2" defaultPivotStyle="PivotStyleLight16"/>
  <colors>
    <mruColors>
      <color rgb="FF00FF00"/>
      <color rgb="FFCCFFFF"/>
      <color rgb="FF808080"/>
      <color rgb="FFFFFFCC"/>
      <color rgb="FF0000FF"/>
      <color rgb="FFFF00FF"/>
      <color rgb="FFC8C8C8"/>
      <color rgb="FF080808"/>
      <color rgb="FFFF0000"/>
      <color rgb="FFC8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0</xdr:colOff>
      <xdr:row>6</xdr:row>
      <xdr:rowOff>0</xdr:rowOff>
    </xdr:from>
    <xdr:to>
      <xdr:col>3</xdr:col>
      <xdr:colOff>1</xdr:colOff>
      <xdr:row>7</xdr:row>
      <xdr:rowOff>0</xdr:rowOff>
    </xdr:to>
    <xdr:sp macro="[0]!CreateAdminSheet" textlink="">
      <xdr:nvSpPr>
        <xdr:cNvPr id="2" name="四角形: 角度付き 1">
          <a:extLst>
            <a:ext uri="{FF2B5EF4-FFF2-40B4-BE49-F238E27FC236}">
              <a16:creationId xmlns:a16="http://schemas.microsoft.com/office/drawing/2014/main" id="{EF1C13AA-179E-D110-892F-6E9CBCDD0111}"/>
            </a:ext>
          </a:extLst>
        </xdr:cNvPr>
        <xdr:cNvSpPr/>
      </xdr:nvSpPr>
      <xdr:spPr>
        <a:xfrm>
          <a:off x="419100" y="1238250"/>
          <a:ext cx="2562226" cy="238125"/>
        </a:xfrm>
        <a:prstGeom prst="bevel">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kumimoji="1" lang="ja-JP" altLang="en-US" sz="1100" kern="1200"/>
            <a:t>登録シートを取込み</a:t>
          </a:r>
        </a:p>
      </xdr:txBody>
    </xdr:sp>
    <xdr:clientData/>
  </xdr:twoCellAnchor>
  <xdr:twoCellAnchor>
    <xdr:from>
      <xdr:col>2</xdr:col>
      <xdr:colOff>0</xdr:colOff>
      <xdr:row>10</xdr:row>
      <xdr:rowOff>0</xdr:rowOff>
    </xdr:from>
    <xdr:to>
      <xdr:col>3</xdr:col>
      <xdr:colOff>0</xdr:colOff>
      <xdr:row>11</xdr:row>
      <xdr:rowOff>0</xdr:rowOff>
    </xdr:to>
    <xdr:sp macro="[0]!ExtractPriceData" textlink="">
      <xdr:nvSpPr>
        <xdr:cNvPr id="3" name="四角形: 角度付き 2">
          <a:extLst>
            <a:ext uri="{FF2B5EF4-FFF2-40B4-BE49-F238E27FC236}">
              <a16:creationId xmlns:a16="http://schemas.microsoft.com/office/drawing/2014/main" id="{19BB6536-2077-4A7B-9FC5-2085702F4604}"/>
            </a:ext>
          </a:extLst>
        </xdr:cNvPr>
        <xdr:cNvSpPr/>
      </xdr:nvSpPr>
      <xdr:spPr>
        <a:xfrm>
          <a:off x="419100" y="1828800"/>
          <a:ext cx="2562225" cy="238125"/>
        </a:xfrm>
        <a:prstGeom prst="bevel">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kumimoji="1" lang="ja-JP" altLang="en-US" sz="1100" kern="1200"/>
            <a:t>価格表を取込み</a:t>
          </a:r>
        </a:p>
      </xdr:txBody>
    </xdr:sp>
    <xdr:clientData/>
  </xdr:twoCellAnchor>
  <xdr:twoCellAnchor>
    <xdr:from>
      <xdr:col>2</xdr:col>
      <xdr:colOff>0</xdr:colOff>
      <xdr:row>14</xdr:row>
      <xdr:rowOff>0</xdr:rowOff>
    </xdr:from>
    <xdr:to>
      <xdr:col>3</xdr:col>
      <xdr:colOff>1</xdr:colOff>
      <xdr:row>15</xdr:row>
      <xdr:rowOff>0</xdr:rowOff>
    </xdr:to>
    <xdr:sp macro="[0]!ExportSheets" textlink="">
      <xdr:nvSpPr>
        <xdr:cNvPr id="8" name="四角形: 角度付き 7">
          <a:extLst>
            <a:ext uri="{FF2B5EF4-FFF2-40B4-BE49-F238E27FC236}">
              <a16:creationId xmlns:a16="http://schemas.microsoft.com/office/drawing/2014/main" id="{7B946A56-E305-42C0-A2F9-278AAC464AAE}"/>
            </a:ext>
          </a:extLst>
        </xdr:cNvPr>
        <xdr:cNvSpPr/>
      </xdr:nvSpPr>
      <xdr:spPr>
        <a:xfrm>
          <a:off x="419100" y="5372100"/>
          <a:ext cx="2562226" cy="228600"/>
        </a:xfrm>
        <a:prstGeom prst="bevel">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kumimoji="1" lang="ja-JP" altLang="en-US" sz="1100" kern="1200"/>
            <a:t>添付ファイルを作成</a:t>
          </a:r>
        </a:p>
      </xdr:txBody>
    </xdr:sp>
    <xdr:clientData/>
  </xdr:twoCellAnchor>
  <xdr:twoCellAnchor>
    <xdr:from>
      <xdr:col>2</xdr:col>
      <xdr:colOff>0</xdr:colOff>
      <xdr:row>16</xdr:row>
      <xdr:rowOff>0</xdr:rowOff>
    </xdr:from>
    <xdr:to>
      <xdr:col>3</xdr:col>
      <xdr:colOff>1</xdr:colOff>
      <xdr:row>17</xdr:row>
      <xdr:rowOff>0</xdr:rowOff>
    </xdr:to>
    <xdr:sp macro="[0]!CreateEmail_forMonthlyReport" textlink="">
      <xdr:nvSpPr>
        <xdr:cNvPr id="9" name="四角形: 角度付き 8">
          <a:extLst>
            <a:ext uri="{FF2B5EF4-FFF2-40B4-BE49-F238E27FC236}">
              <a16:creationId xmlns:a16="http://schemas.microsoft.com/office/drawing/2014/main" id="{02D17C75-15F4-40ED-AE23-BE99D1B598F1}"/>
            </a:ext>
          </a:extLst>
        </xdr:cNvPr>
        <xdr:cNvSpPr/>
      </xdr:nvSpPr>
      <xdr:spPr>
        <a:xfrm>
          <a:off x="419100" y="5943600"/>
          <a:ext cx="2562226" cy="228600"/>
        </a:xfrm>
        <a:prstGeom prst="bevel">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kumimoji="1" lang="ja-JP" altLang="en-US" sz="1100" kern="1200"/>
            <a:t>メール作成</a:t>
          </a:r>
        </a:p>
      </xdr:txBody>
    </xdr:sp>
    <xdr:clientData/>
  </xdr:twoCellAnchor>
  <xdr:twoCellAnchor editAs="oneCell">
    <xdr:from>
      <xdr:col>8</xdr:col>
      <xdr:colOff>419099</xdr:colOff>
      <xdr:row>0</xdr:row>
      <xdr:rowOff>1</xdr:rowOff>
    </xdr:from>
    <xdr:to>
      <xdr:col>8</xdr:col>
      <xdr:colOff>685799</xdr:colOff>
      <xdr:row>0</xdr:row>
      <xdr:rowOff>266701</xdr:rowOff>
    </xdr:to>
    <xdr:pic macro="[0]!ClearSheets">
      <xdr:nvPicPr>
        <xdr:cNvPr id="5" name="グラフィックス 4" descr="消しゴム 単色塗りつぶし">
          <a:extLst>
            <a:ext uri="{FF2B5EF4-FFF2-40B4-BE49-F238E27FC236}">
              <a16:creationId xmlns:a16="http://schemas.microsoft.com/office/drawing/2014/main" id="{7DA5AD00-9A60-BF52-AAA1-09AD265461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77074" y="1"/>
          <a:ext cx="266700" cy="266700"/>
        </a:xfrm>
        <a:prstGeom prst="rect">
          <a:avLst/>
        </a:prstGeom>
      </xdr:spPr>
    </xdr:pic>
    <xdr:clientData/>
  </xdr:twoCellAnchor>
  <xdr:twoCellAnchor>
    <xdr:from>
      <xdr:col>2</xdr:col>
      <xdr:colOff>0</xdr:colOff>
      <xdr:row>22</xdr:row>
      <xdr:rowOff>0</xdr:rowOff>
    </xdr:from>
    <xdr:to>
      <xdr:col>3</xdr:col>
      <xdr:colOff>1</xdr:colOff>
      <xdr:row>23</xdr:row>
      <xdr:rowOff>0</xdr:rowOff>
    </xdr:to>
    <xdr:sp macro="[0]!CreateEmail_forWarrantyRecord" textlink="">
      <xdr:nvSpPr>
        <xdr:cNvPr id="4" name="四角形: 角度付き 3">
          <a:extLst>
            <a:ext uri="{FF2B5EF4-FFF2-40B4-BE49-F238E27FC236}">
              <a16:creationId xmlns:a16="http://schemas.microsoft.com/office/drawing/2014/main" id="{A6CA656C-176E-4F23-9560-999AC90D0A3F}"/>
            </a:ext>
          </a:extLst>
        </xdr:cNvPr>
        <xdr:cNvSpPr/>
      </xdr:nvSpPr>
      <xdr:spPr>
        <a:xfrm>
          <a:off x="419100" y="3781425"/>
          <a:ext cx="2562226" cy="238125"/>
        </a:xfrm>
        <a:prstGeom prst="bevel">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100" kern="1200"/>
            <a:t>メール作成</a:t>
          </a:r>
        </a:p>
      </xdr:txBody>
    </xdr:sp>
    <xdr:clientData/>
  </xdr:twoCellAnchor>
  <xdr:twoCellAnchor>
    <xdr:from>
      <xdr:col>2</xdr:col>
      <xdr:colOff>0</xdr:colOff>
      <xdr:row>20</xdr:row>
      <xdr:rowOff>9525</xdr:rowOff>
    </xdr:from>
    <xdr:to>
      <xdr:col>3</xdr:col>
      <xdr:colOff>1</xdr:colOff>
      <xdr:row>21</xdr:row>
      <xdr:rowOff>9525</xdr:rowOff>
    </xdr:to>
    <xdr:sp macro="[0]!点検連絡票_01_添付資料作成.UpdateWarrantyRecord" textlink="">
      <xdr:nvSpPr>
        <xdr:cNvPr id="6" name="四角形: 角度付き 5">
          <a:extLst>
            <a:ext uri="{FF2B5EF4-FFF2-40B4-BE49-F238E27FC236}">
              <a16:creationId xmlns:a16="http://schemas.microsoft.com/office/drawing/2014/main" id="{13979C0B-7A2A-4B6A-A014-DD602E729C91}"/>
            </a:ext>
          </a:extLst>
        </xdr:cNvPr>
        <xdr:cNvSpPr/>
      </xdr:nvSpPr>
      <xdr:spPr>
        <a:xfrm>
          <a:off x="419100" y="3495675"/>
          <a:ext cx="2562226" cy="238125"/>
        </a:xfrm>
        <a:prstGeom prst="bevel">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100" kern="1200"/>
            <a:t>点検連絡票を更新</a:t>
          </a:r>
          <a:endParaRPr kumimoji="1" lang="en-US" altLang="ja-JP"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19050</xdr:colOff>
      <xdr:row>2</xdr:row>
      <xdr:rowOff>0</xdr:rowOff>
    </xdr:from>
    <xdr:to>
      <xdr:col>7</xdr:col>
      <xdr:colOff>19049</xdr:colOff>
      <xdr:row>4</xdr:row>
      <xdr:rowOff>9525</xdr:rowOff>
    </xdr:to>
    <xdr:sp macro="[0]!CreateEmail_forWarrantyRecord" textlink="">
      <xdr:nvSpPr>
        <xdr:cNvPr id="3" name="四角形: 角度付き 2">
          <a:extLst>
            <a:ext uri="{FF2B5EF4-FFF2-40B4-BE49-F238E27FC236}">
              <a16:creationId xmlns:a16="http://schemas.microsoft.com/office/drawing/2014/main" id="{27C885A8-1AB9-4BFC-BD08-F51FCFDBA681}"/>
            </a:ext>
          </a:extLst>
        </xdr:cNvPr>
        <xdr:cNvSpPr/>
      </xdr:nvSpPr>
      <xdr:spPr>
        <a:xfrm>
          <a:off x="11525250" y="514350"/>
          <a:ext cx="2057399" cy="485775"/>
        </a:xfrm>
        <a:prstGeom prst="bevel">
          <a:avLst/>
        </a:prstGeom>
        <a:solidFill>
          <a:srgbClr val="89C3EB"/>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kumimoji="1" lang="ja-JP" altLang="en-US" sz="1100"/>
            <a:t>メールを出力</a:t>
          </a:r>
          <a:endParaRPr kumimoji="1" lang="en-US" altLang="ja-JP"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D64C64C-EE38-479A-A8DF-FBCA256C059E}" autoFormatId="20" applyNumberFormats="0" applyBorderFormats="0" applyFontFormats="0" applyPatternFormats="0" applyAlignmentFormats="0" applyWidthHeightFormats="0">
  <queryTableRefresh nextId="11">
    <queryTableFields count="10">
      <queryTableField id="1" name="品番" tableColumnId="1"/>
      <queryTableField id="2" name="本体価格" tableColumnId="2"/>
      <queryTableField id="3" name="." tableColumnId="3"/>
      <queryTableField id="4" name="ケアパック品番(3年間)" tableColumnId="4"/>
      <queryTableField id="5" name="価格(3年間)" tableColumnId="5"/>
      <queryTableField id="6" name="ケアパック品番(4年間)" tableColumnId="6"/>
      <queryTableField id="7" name="価格(4年間)" tableColumnId="7"/>
      <queryTableField id="8" name="ケアパック品番(5年間)" tableColumnId="8"/>
      <queryTableField id="9" name="価格(5年間)" tableColumnId="9"/>
      <queryTableField id="10" name="代替"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F9D9CD12-DA2F-4DF7-AFCD-A623188E1E29}" autoFormatId="20" applyNumberFormats="0" applyBorderFormats="0" applyFontFormats="0" applyPatternFormats="0" applyAlignmentFormats="0" applyWidthHeightFormats="0">
  <queryTableRefresh nextId="11">
    <queryTableFields count="10">
      <queryTableField id="1" name="品番" tableColumnId="1"/>
      <queryTableField id="2" name="本体価格" tableColumnId="2"/>
      <queryTableField id="3" name="." tableColumnId="3"/>
      <queryTableField id="4" name="ケアパック品番(3年間)" tableColumnId="4"/>
      <queryTableField id="5" name="価格(3年間)" tableColumnId="5"/>
      <queryTableField id="6" name="ケアパック品番(4年間)" tableColumnId="6"/>
      <queryTableField id="7" name="価格(4年間)" tableColumnId="7"/>
      <queryTableField id="8" name="ケアパック品番(5年間)" tableColumnId="8"/>
      <queryTableField id="9" name="価格(5年間)" tableColumnId="9"/>
      <queryTableField id="10" name="代替"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7CA3BB-8C83-46AB-8E75-04C570B1E8A7}" name="テーブル1" displayName="テーブル1" ref="G3:H7" totalsRowShown="0" headerRowDxfId="33" dataDxfId="32">
  <autoFilter ref="G3:H7" xr:uid="{BC7CA3BB-8C83-46AB-8E75-04C570B1E8A7}"/>
  <tableColumns count="2">
    <tableColumn id="1" xr3:uid="{D8FFC5FB-BCB2-409A-B351-27737C379451}" name="氏名" dataDxfId="31"/>
    <tableColumn id="2" xr3:uid="{6EAB1051-CC9D-4FD9-B64D-9623A43CE155}" name="ユーザー名" dataDxfId="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3573A9E-B293-4DC0-9642-C83A0EDAF469}" name="価格表__卸価格" displayName="価格表__卸価格" ref="A2:J292" tableType="queryTable" totalsRowShown="0">
  <autoFilter ref="A2:J292" xr:uid="{E3573A9E-B293-4DC0-9642-C83A0EDAF469}"/>
  <tableColumns count="10">
    <tableColumn id="1" xr3:uid="{689DD11A-00C0-48B7-8967-1B52CD661E9C}" uniqueName="1" name="品番" queryTableFieldId="1" dataDxfId="18"/>
    <tableColumn id="2" xr3:uid="{88F22F2D-D032-48A3-8100-8624D18E74E6}" uniqueName="2" name="本体価格" queryTableFieldId="2" dataDxfId="17"/>
    <tableColumn id="3" xr3:uid="{7014A462-116F-4AEA-81D4-2E8557226280}" uniqueName="3" name="." queryTableFieldId="3" dataDxfId="16"/>
    <tableColumn id="4" xr3:uid="{30CC5F7C-98B4-4596-BAD3-FA75B8AC6820}" uniqueName="4" name="ケアパック品番(3年間)" queryTableFieldId="4" dataDxfId="15"/>
    <tableColumn id="5" xr3:uid="{7B91EEAA-DA7D-43FD-AD27-C609111DF1B6}" uniqueName="5" name="価格(3年間)" queryTableFieldId="5" dataDxfId="14"/>
    <tableColumn id="6" xr3:uid="{0CB24280-1D44-432F-8564-F894ACF429C4}" uniqueName="6" name="ケアパック品番(4年間)" queryTableFieldId="6" dataDxfId="13"/>
    <tableColumn id="7" xr3:uid="{21DDE068-CFD0-43B3-B3AF-CF644C6F7296}" uniqueName="7" name="価格(4年間)" queryTableFieldId="7" dataDxfId="12"/>
    <tableColumn id="8" xr3:uid="{4769A7AD-ED4D-44CA-A10F-D65D3BE6FFCF}" uniqueName="8" name="ケアパック品番(5年間)" queryTableFieldId="8" dataDxfId="11"/>
    <tableColumn id="9" xr3:uid="{BCCE4F88-BB84-43C1-884F-97CE5C8493CD}" uniqueName="9" name="価格(5年間)" queryTableFieldId="9" dataDxfId="10"/>
    <tableColumn id="10" xr3:uid="{B68B734C-5D81-4CEB-A529-0B0FFF1BEE7A}" uniqueName="10" name="代替" queryTableFieldId="10"/>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88701D-5432-49BE-8371-74A95E4D4615}" name="価格表_セ価格" displayName="価格表_セ価格" ref="A2:J292" tableType="queryTable" totalsRowShown="0">
  <autoFilter ref="A2:J292" xr:uid="{8588701D-5432-49BE-8371-74A95E4D4615}"/>
  <tableColumns count="10">
    <tableColumn id="1" xr3:uid="{CFB51E83-0FFF-4423-908C-10068A7C6114}" uniqueName="1" name="品番" queryTableFieldId="1" dataDxfId="9"/>
    <tableColumn id="2" xr3:uid="{98B799DA-4F8D-4A7B-9955-B33A7B08DDD0}" uniqueName="2" name="本体価格" queryTableFieldId="2" dataDxfId="8"/>
    <tableColumn id="3" xr3:uid="{87BA5BE3-6969-48AA-BB5C-18F31005049C}" uniqueName="3" name="." queryTableFieldId="3" dataDxfId="7"/>
    <tableColumn id="4" xr3:uid="{440772A4-E2DA-42E1-BF41-1EBFEEF2DD9E}" uniqueName="4" name="ケアパック品番(3年間)" queryTableFieldId="4" dataDxfId="6"/>
    <tableColumn id="5" xr3:uid="{03A930A9-F90A-4575-9757-4EAC330C4DCE}" uniqueName="5" name="価格(3年間)" queryTableFieldId="5" dataDxfId="5"/>
    <tableColumn id="6" xr3:uid="{265D6490-542B-4E8F-8A56-5E17C5342974}" uniqueName="6" name="ケアパック品番(4年間)" queryTableFieldId="6" dataDxfId="4"/>
    <tableColumn id="7" xr3:uid="{A05DDE7A-A2B4-47DD-8259-600E5D816E17}" uniqueName="7" name="価格(4年間)" queryTableFieldId="7" dataDxfId="3"/>
    <tableColumn id="8" xr3:uid="{7E035AD5-6889-4BFA-9531-71AC6E6CB417}" uniqueName="8" name="ケアパック品番(5年間)" queryTableFieldId="8" dataDxfId="2"/>
    <tableColumn id="9" xr3:uid="{2AC9892F-596B-4825-A33A-344638C364BB}" uniqueName="9" name="価格(5年間)" queryTableFieldId="9" dataDxfId="1"/>
    <tableColumn id="10" xr3:uid="{ADCA75B7-5524-4687-9BA4-9B5025857910}" uniqueName="10" name="代替" queryTableFieldId="10"/>
  </tableColumns>
  <tableStyleInfo name="TableStyleMedium1"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31FF134-D414-4249-8EB3-AC568754ABE0}">
  <we:reference id="db18cc72-1a17-45df-b60e-7ffb655e8af5" version="1.0.0.4" store="EXCatalog" storeType="EXCatalog"/>
  <we:alternateReferences>
    <we:reference id="WA104381701" version="1.0.0.4" store="ja-JP"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hyperlink" Target="mailto:eng_carepack@ml.jp.panasonic.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F9F01-C532-49BF-8596-D9B4E518DC3F}">
  <sheetPr codeName="Sheet101">
    <tabColor rgb="FF808080"/>
  </sheetPr>
  <dimension ref="A1:E90"/>
  <sheetViews>
    <sheetView workbookViewId="0">
      <selection activeCell="E10" sqref="E10"/>
    </sheetView>
  </sheetViews>
  <sheetFormatPr defaultRowHeight="18.75"/>
  <cols>
    <col min="1" max="1" width="15.875" bestFit="1" customWidth="1"/>
    <col min="2" max="2" width="18.625" bestFit="1" customWidth="1"/>
    <col min="3" max="3" width="11.25" bestFit="1" customWidth="1"/>
    <col min="4" max="4" width="31.375" customWidth="1"/>
    <col min="5" max="5" width="81" customWidth="1"/>
  </cols>
  <sheetData>
    <row r="1" spans="1:5" ht="21">
      <c r="A1" s="1" t="s">
        <v>0</v>
      </c>
      <c r="B1" s="2"/>
      <c r="C1" s="2"/>
      <c r="D1" s="2"/>
      <c r="E1" s="2"/>
    </row>
    <row r="2" spans="1:5">
      <c r="A2" s="3"/>
      <c r="B2" s="3"/>
      <c r="C2" s="3"/>
      <c r="D2" s="3"/>
      <c r="E2" s="3"/>
    </row>
    <row r="3" spans="1:5" ht="36">
      <c r="A3" s="23" t="s">
        <v>1</v>
      </c>
      <c r="B3" s="23" t="s">
        <v>2</v>
      </c>
      <c r="C3" s="23" t="s">
        <v>3</v>
      </c>
      <c r="D3" s="24" t="s">
        <v>4</v>
      </c>
      <c r="E3" s="23" t="s">
        <v>5</v>
      </c>
    </row>
    <row r="4" spans="1:5">
      <c r="A4" s="21">
        <v>45748.630162037036</v>
      </c>
      <c r="B4" s="22" t="s">
        <v>2398</v>
      </c>
      <c r="C4" s="22">
        <v>7075688</v>
      </c>
      <c r="D4" s="22" t="s">
        <v>2399</v>
      </c>
      <c r="E4" s="123" t="s">
        <v>2400</v>
      </c>
    </row>
    <row r="5" spans="1:5">
      <c r="A5" s="4">
        <v>45748.630740740744</v>
      </c>
      <c r="B5" s="5" t="s">
        <v>2398</v>
      </c>
      <c r="C5" s="5">
        <v>7075688</v>
      </c>
      <c r="D5" s="5" t="s">
        <v>2399</v>
      </c>
      <c r="E5" s="30" t="s">
        <v>2417</v>
      </c>
    </row>
    <row r="6" spans="1:5">
      <c r="A6" s="4">
        <v>45748.637916666667</v>
      </c>
      <c r="B6" s="5" t="s">
        <v>2398</v>
      </c>
      <c r="C6" s="5">
        <v>7075688</v>
      </c>
      <c r="D6" s="5" t="s">
        <v>2425</v>
      </c>
      <c r="E6" s="30" t="s">
        <v>2417</v>
      </c>
    </row>
    <row r="7" spans="1:5">
      <c r="A7" s="4">
        <v>45763.618703703702</v>
      </c>
      <c r="B7" s="5" t="s">
        <v>2398</v>
      </c>
      <c r="C7" s="5">
        <v>7075688</v>
      </c>
      <c r="D7" s="5" t="s">
        <v>2399</v>
      </c>
      <c r="E7" s="30" t="s">
        <v>2417</v>
      </c>
    </row>
    <row r="8" spans="1:5">
      <c r="A8" s="4">
        <v>45763.620034722226</v>
      </c>
      <c r="B8" s="5" t="s">
        <v>2398</v>
      </c>
      <c r="C8" s="5">
        <v>7075688</v>
      </c>
      <c r="D8" s="5" t="s">
        <v>2399</v>
      </c>
      <c r="E8" s="30" t="s">
        <v>2417</v>
      </c>
    </row>
    <row r="9" spans="1:5">
      <c r="A9" s="4">
        <v>45763.620810185188</v>
      </c>
      <c r="B9" s="5" t="s">
        <v>2398</v>
      </c>
      <c r="C9" s="5">
        <v>7075688</v>
      </c>
      <c r="D9" s="5" t="s">
        <v>2399</v>
      </c>
      <c r="E9" s="30" t="s">
        <v>2417</v>
      </c>
    </row>
    <row r="10" spans="1:5">
      <c r="A10" s="4">
        <v>45763.625520833331</v>
      </c>
      <c r="B10" s="5" t="s">
        <v>2398</v>
      </c>
      <c r="C10" s="5">
        <v>7075688</v>
      </c>
      <c r="D10" s="5" t="s">
        <v>2425</v>
      </c>
      <c r="E10" s="30" t="s">
        <v>2417</v>
      </c>
    </row>
    <row r="11" spans="1:5">
      <c r="A11" s="4">
        <v>45768.594849537039</v>
      </c>
      <c r="B11" s="5" t="s">
        <v>2398</v>
      </c>
      <c r="C11" s="5">
        <v>7075688</v>
      </c>
      <c r="D11" s="5" t="s">
        <v>2399</v>
      </c>
      <c r="E11" s="30" t="s">
        <v>2417</v>
      </c>
    </row>
    <row r="12" spans="1:5">
      <c r="A12" s="4">
        <v>45768.602731481478</v>
      </c>
      <c r="B12" s="5" t="s">
        <v>2398</v>
      </c>
      <c r="C12" s="5">
        <v>7075688</v>
      </c>
      <c r="D12" s="5" t="s">
        <v>2425</v>
      </c>
      <c r="E12" s="30" t="s">
        <v>2417</v>
      </c>
    </row>
    <row r="13" spans="1:5">
      <c r="A13" s="4">
        <v>45768.694722222222</v>
      </c>
      <c r="B13" s="5" t="s">
        <v>2398</v>
      </c>
      <c r="C13" s="5">
        <v>7075688</v>
      </c>
      <c r="D13" s="5" t="s">
        <v>2399</v>
      </c>
      <c r="E13" s="30" t="s">
        <v>2417</v>
      </c>
    </row>
    <row r="14" spans="1:5">
      <c r="A14" s="4">
        <v>45768.696921296294</v>
      </c>
      <c r="B14" s="5" t="s">
        <v>2398</v>
      </c>
      <c r="C14" s="5">
        <v>7075688</v>
      </c>
      <c r="D14" s="5" t="s">
        <v>2399</v>
      </c>
      <c r="E14" s="30" t="s">
        <v>2417</v>
      </c>
    </row>
    <row r="15" spans="1:5">
      <c r="A15" s="4">
        <v>45770.485659722224</v>
      </c>
      <c r="B15" s="5" t="s">
        <v>2398</v>
      </c>
      <c r="C15" s="5">
        <v>7075688</v>
      </c>
      <c r="D15" s="5" t="s">
        <v>2399</v>
      </c>
      <c r="E15" s="30" t="s">
        <v>2417</v>
      </c>
    </row>
    <row r="16" spans="1:5">
      <c r="A16" s="4">
        <v>45770.487291666665</v>
      </c>
      <c r="B16" s="5" t="s">
        <v>2398</v>
      </c>
      <c r="C16" s="5">
        <v>7075688</v>
      </c>
      <c r="D16" s="5" t="s">
        <v>2425</v>
      </c>
      <c r="E16" s="30" t="s">
        <v>2417</v>
      </c>
    </row>
    <row r="17" spans="1:5">
      <c r="A17" s="4">
        <v>45791.603078703702</v>
      </c>
      <c r="B17" s="5" t="s">
        <v>2398</v>
      </c>
      <c r="C17" s="5">
        <v>7075688</v>
      </c>
      <c r="D17" s="5" t="s">
        <v>2399</v>
      </c>
      <c r="E17" s="30" t="s">
        <v>2417</v>
      </c>
    </row>
    <row r="18" spans="1:5">
      <c r="A18" s="4">
        <v>45791.614432870374</v>
      </c>
      <c r="B18" s="5" t="s">
        <v>2398</v>
      </c>
      <c r="C18" s="5">
        <v>7075688</v>
      </c>
      <c r="D18" s="5" t="s">
        <v>2425</v>
      </c>
      <c r="E18" s="30" t="s">
        <v>2417</v>
      </c>
    </row>
    <row r="19" spans="1:5">
      <c r="A19" s="4"/>
      <c r="B19" s="5"/>
      <c r="C19" s="5"/>
      <c r="D19" s="5"/>
      <c r="E19" s="30"/>
    </row>
    <row r="20" spans="1:5">
      <c r="A20" s="4"/>
      <c r="B20" s="5"/>
      <c r="C20" s="5"/>
      <c r="D20" s="5"/>
      <c r="E20" s="30"/>
    </row>
    <row r="21" spans="1:5">
      <c r="A21" s="4"/>
      <c r="B21" s="5"/>
      <c r="C21" s="5"/>
      <c r="D21" s="5"/>
      <c r="E21" s="30"/>
    </row>
    <row r="22" spans="1:5">
      <c r="A22" s="4"/>
      <c r="B22" s="5"/>
      <c r="C22" s="5"/>
      <c r="D22" s="5"/>
      <c r="E22" s="30"/>
    </row>
    <row r="23" spans="1:5">
      <c r="A23" s="4"/>
      <c r="B23" s="5"/>
      <c r="C23" s="5"/>
      <c r="D23" s="5"/>
      <c r="E23" s="30"/>
    </row>
    <row r="24" spans="1:5">
      <c r="A24" s="4"/>
      <c r="B24" s="5"/>
      <c r="C24" s="5"/>
      <c r="D24" s="5"/>
      <c r="E24" s="30"/>
    </row>
    <row r="25" spans="1:5">
      <c r="A25" s="4"/>
      <c r="B25" s="5"/>
      <c r="C25" s="5"/>
      <c r="D25" s="5"/>
      <c r="E25" s="30"/>
    </row>
    <row r="26" spans="1:5">
      <c r="A26" s="4"/>
      <c r="B26" s="5"/>
      <c r="C26" s="5"/>
      <c r="D26" s="5"/>
      <c r="E26" s="30"/>
    </row>
    <row r="27" spans="1:5">
      <c r="A27" s="4"/>
      <c r="B27" s="5"/>
      <c r="C27" s="5"/>
      <c r="D27" s="5"/>
      <c r="E27" s="30"/>
    </row>
    <row r="28" spans="1:5">
      <c r="A28" s="4"/>
      <c r="B28" s="5"/>
      <c r="C28" s="5"/>
      <c r="D28" s="5"/>
      <c r="E28" s="30"/>
    </row>
    <row r="29" spans="1:5">
      <c r="A29" s="4"/>
      <c r="B29" s="5"/>
      <c r="C29" s="5"/>
      <c r="D29" s="5"/>
      <c r="E29" s="30"/>
    </row>
    <row r="30" spans="1:5">
      <c r="A30" s="4"/>
      <c r="B30" s="5"/>
      <c r="C30" s="5"/>
      <c r="D30" s="5"/>
      <c r="E30" s="30"/>
    </row>
    <row r="31" spans="1:5">
      <c r="A31" s="4"/>
      <c r="B31" s="5"/>
      <c r="C31" s="5"/>
      <c r="D31" s="5"/>
      <c r="E31" s="30"/>
    </row>
    <row r="32" spans="1:5">
      <c r="A32" s="4"/>
      <c r="B32" s="5"/>
      <c r="C32" s="5"/>
      <c r="D32" s="5"/>
      <c r="E32" s="30"/>
    </row>
    <row r="33" spans="1:5">
      <c r="A33" s="4"/>
      <c r="B33" s="5"/>
      <c r="C33" s="5"/>
      <c r="D33" s="5"/>
      <c r="E33" s="30"/>
    </row>
    <row r="34" spans="1:5">
      <c r="A34" s="4"/>
      <c r="B34" s="5"/>
      <c r="C34" s="5"/>
      <c r="D34" s="5"/>
      <c r="E34" s="30"/>
    </row>
    <row r="35" spans="1:5">
      <c r="A35" s="4"/>
      <c r="B35" s="5"/>
      <c r="C35" s="5"/>
      <c r="D35" s="5"/>
      <c r="E35" s="30"/>
    </row>
    <row r="36" spans="1:5">
      <c r="A36" s="4"/>
      <c r="B36" s="5"/>
      <c r="C36" s="5"/>
      <c r="D36" s="5"/>
      <c r="E36" s="30"/>
    </row>
    <row r="37" spans="1:5">
      <c r="A37" s="4"/>
      <c r="B37" s="5"/>
      <c r="C37" s="5"/>
      <c r="D37" s="5"/>
      <c r="E37" s="30"/>
    </row>
    <row r="38" spans="1:5">
      <c r="A38" s="4"/>
      <c r="B38" s="5"/>
      <c r="C38" s="5"/>
      <c r="D38" s="5"/>
      <c r="E38" s="30"/>
    </row>
    <row r="39" spans="1:5">
      <c r="A39" s="4"/>
      <c r="B39" s="5"/>
      <c r="C39" s="5"/>
      <c r="D39" s="5"/>
      <c r="E39" s="30"/>
    </row>
    <row r="40" spans="1:5">
      <c r="A40" s="4"/>
      <c r="B40" s="5"/>
      <c r="C40" s="5"/>
      <c r="D40" s="5"/>
      <c r="E40" s="30"/>
    </row>
    <row r="41" spans="1:5">
      <c r="A41" s="4"/>
      <c r="B41" s="5"/>
      <c r="C41" s="5"/>
      <c r="D41" s="5"/>
      <c r="E41" s="30"/>
    </row>
    <row r="42" spans="1:5">
      <c r="A42" s="4"/>
      <c r="B42" s="5"/>
      <c r="C42" s="5"/>
      <c r="D42" s="5"/>
      <c r="E42" s="30"/>
    </row>
    <row r="43" spans="1:5">
      <c r="A43" s="4"/>
      <c r="B43" s="5"/>
      <c r="C43" s="5"/>
      <c r="D43" s="5"/>
      <c r="E43" s="30"/>
    </row>
    <row r="44" spans="1:5">
      <c r="A44" s="4"/>
      <c r="B44" s="5"/>
      <c r="C44" s="5"/>
      <c r="D44" s="5"/>
      <c r="E44" s="30"/>
    </row>
    <row r="45" spans="1:5">
      <c r="A45" s="4"/>
      <c r="B45" s="5"/>
      <c r="C45" s="5"/>
      <c r="D45" s="5"/>
      <c r="E45" s="30"/>
    </row>
    <row r="46" spans="1:5">
      <c r="A46" s="4"/>
      <c r="B46" s="5"/>
      <c r="C46" s="5"/>
      <c r="D46" s="5"/>
      <c r="E46" s="30"/>
    </row>
    <row r="47" spans="1:5">
      <c r="A47" s="4"/>
      <c r="B47" s="5"/>
      <c r="C47" s="5"/>
      <c r="D47" s="5"/>
      <c r="E47" s="30"/>
    </row>
    <row r="48" spans="1:5">
      <c r="A48" s="4"/>
      <c r="B48" s="5"/>
      <c r="C48" s="5"/>
      <c r="D48" s="5"/>
      <c r="E48" s="30"/>
    </row>
    <row r="49" spans="1:5">
      <c r="A49" s="4"/>
      <c r="B49" s="5"/>
      <c r="C49" s="5"/>
      <c r="D49" s="5"/>
      <c r="E49" s="30"/>
    </row>
    <row r="50" spans="1:5">
      <c r="A50" s="4"/>
      <c r="B50" s="5"/>
      <c r="C50" s="5"/>
      <c r="D50" s="5"/>
      <c r="E50" s="30"/>
    </row>
    <row r="51" spans="1:5">
      <c r="A51" s="4"/>
      <c r="B51" s="5"/>
      <c r="C51" s="5"/>
      <c r="D51" s="5"/>
      <c r="E51" s="30"/>
    </row>
    <row r="52" spans="1:5">
      <c r="A52" s="4"/>
      <c r="B52" s="5"/>
      <c r="C52" s="5"/>
      <c r="D52" s="5"/>
      <c r="E52" s="30"/>
    </row>
    <row r="53" spans="1:5">
      <c r="A53" s="4"/>
      <c r="B53" s="5"/>
      <c r="C53" s="5"/>
      <c r="D53" s="5"/>
      <c r="E53" s="30"/>
    </row>
    <row r="54" spans="1:5">
      <c r="A54" s="4"/>
      <c r="B54" s="5"/>
      <c r="C54" s="5"/>
      <c r="D54" s="5"/>
      <c r="E54" s="30"/>
    </row>
    <row r="55" spans="1:5">
      <c r="A55" s="4"/>
      <c r="B55" s="5"/>
      <c r="C55" s="5"/>
      <c r="D55" s="5"/>
      <c r="E55" s="30"/>
    </row>
    <row r="56" spans="1:5">
      <c r="A56" s="4"/>
      <c r="B56" s="5"/>
      <c r="C56" s="5"/>
      <c r="D56" s="5"/>
      <c r="E56" s="30"/>
    </row>
    <row r="57" spans="1:5">
      <c r="A57" s="4"/>
      <c r="B57" s="5"/>
      <c r="C57" s="5"/>
      <c r="D57" s="5"/>
      <c r="E57" s="30"/>
    </row>
    <row r="58" spans="1:5">
      <c r="A58" s="4"/>
      <c r="B58" s="5"/>
      <c r="C58" s="5"/>
      <c r="D58" s="5"/>
      <c r="E58" s="30"/>
    </row>
    <row r="59" spans="1:5">
      <c r="A59" s="4"/>
      <c r="B59" s="5"/>
      <c r="C59" s="5"/>
      <c r="D59" s="5"/>
      <c r="E59" s="30"/>
    </row>
    <row r="60" spans="1:5">
      <c r="A60" s="4"/>
      <c r="B60" s="5"/>
      <c r="C60" s="5"/>
      <c r="D60" s="5"/>
      <c r="E60" s="30"/>
    </row>
    <row r="61" spans="1:5">
      <c r="A61" s="4"/>
      <c r="B61" s="5"/>
      <c r="C61" s="5"/>
      <c r="D61" s="5"/>
      <c r="E61" s="30"/>
    </row>
    <row r="62" spans="1:5">
      <c r="A62" s="4"/>
      <c r="B62" s="5"/>
      <c r="C62" s="5"/>
      <c r="D62" s="5"/>
      <c r="E62" s="30"/>
    </row>
    <row r="63" spans="1:5">
      <c r="A63" s="4"/>
      <c r="B63" s="5"/>
      <c r="C63" s="5"/>
      <c r="D63" s="5"/>
      <c r="E63" s="30"/>
    </row>
    <row r="64" spans="1:5">
      <c r="A64" s="4"/>
      <c r="B64" s="5"/>
      <c r="C64" s="5"/>
      <c r="D64" s="5"/>
      <c r="E64" s="30"/>
    </row>
    <row r="65" spans="1:5">
      <c r="A65" s="4"/>
      <c r="B65" s="5"/>
      <c r="C65" s="5"/>
      <c r="D65" s="5"/>
      <c r="E65" s="30"/>
    </row>
    <row r="66" spans="1:5">
      <c r="A66" s="4"/>
      <c r="B66" s="5"/>
      <c r="C66" s="5"/>
      <c r="D66" s="5"/>
      <c r="E66" s="30"/>
    </row>
    <row r="67" spans="1:5">
      <c r="A67" s="4"/>
      <c r="B67" s="5"/>
      <c r="C67" s="5"/>
      <c r="D67" s="5"/>
      <c r="E67" s="30"/>
    </row>
    <row r="68" spans="1:5">
      <c r="A68" s="4"/>
      <c r="B68" s="5"/>
      <c r="C68" s="5"/>
      <c r="D68" s="5"/>
      <c r="E68" s="30"/>
    </row>
    <row r="69" spans="1:5">
      <c r="A69" s="4"/>
      <c r="B69" s="5"/>
      <c r="C69" s="5"/>
      <c r="D69" s="5"/>
      <c r="E69" s="30"/>
    </row>
    <row r="70" spans="1:5">
      <c r="A70" s="4"/>
      <c r="B70" s="5"/>
      <c r="C70" s="5"/>
      <c r="D70" s="5"/>
      <c r="E70" s="30"/>
    </row>
    <row r="71" spans="1:5">
      <c r="A71" s="4"/>
      <c r="B71" s="5"/>
      <c r="C71" s="5"/>
      <c r="D71" s="5"/>
      <c r="E71" s="30"/>
    </row>
    <row r="72" spans="1:5">
      <c r="A72" s="4"/>
      <c r="B72" s="5"/>
      <c r="C72" s="5"/>
      <c r="D72" s="5"/>
      <c r="E72" s="30"/>
    </row>
    <row r="73" spans="1:5">
      <c r="A73" s="4"/>
      <c r="B73" s="5"/>
      <c r="C73" s="5"/>
      <c r="D73" s="5"/>
      <c r="E73" s="30"/>
    </row>
    <row r="74" spans="1:5">
      <c r="A74" s="4"/>
      <c r="B74" s="5"/>
      <c r="C74" s="5"/>
      <c r="D74" s="5"/>
      <c r="E74" s="30"/>
    </row>
    <row r="75" spans="1:5">
      <c r="A75" s="4"/>
      <c r="B75" s="5"/>
      <c r="C75" s="5"/>
      <c r="D75" s="5"/>
      <c r="E75" s="30"/>
    </row>
    <row r="76" spans="1:5">
      <c r="A76" s="4"/>
      <c r="B76" s="5"/>
      <c r="C76" s="5"/>
      <c r="D76" s="5"/>
      <c r="E76" s="30"/>
    </row>
    <row r="77" spans="1:5">
      <c r="A77" s="4"/>
      <c r="B77" s="5"/>
      <c r="C77" s="5"/>
      <c r="D77" s="5"/>
      <c r="E77" s="30"/>
    </row>
    <row r="78" spans="1:5">
      <c r="A78" s="4"/>
      <c r="B78" s="5"/>
      <c r="C78" s="5"/>
      <c r="D78" s="5"/>
      <c r="E78" s="30"/>
    </row>
    <row r="79" spans="1:5">
      <c r="A79" s="4"/>
      <c r="B79" s="5"/>
      <c r="C79" s="5"/>
      <c r="D79" s="5"/>
      <c r="E79" s="30"/>
    </row>
    <row r="80" spans="1:5">
      <c r="A80" s="5"/>
      <c r="B80" s="5"/>
      <c r="C80" s="5"/>
      <c r="D80" s="5"/>
      <c r="E80" s="30"/>
    </row>
    <row r="81" spans="1:5">
      <c r="A81" s="5"/>
      <c r="B81" s="5"/>
      <c r="C81" s="5"/>
      <c r="D81" s="5"/>
      <c r="E81" s="30"/>
    </row>
    <row r="82" spans="1:5">
      <c r="A82" s="5"/>
      <c r="B82" s="5"/>
      <c r="C82" s="5"/>
      <c r="D82" s="5"/>
      <c r="E82" s="30"/>
    </row>
    <row r="83" spans="1:5">
      <c r="A83" s="5"/>
      <c r="B83" s="5"/>
      <c r="C83" s="5"/>
      <c r="D83" s="5"/>
      <c r="E83" s="30"/>
    </row>
    <row r="84" spans="1:5">
      <c r="A84" s="5"/>
      <c r="B84" s="5"/>
      <c r="C84" s="5"/>
      <c r="D84" s="5"/>
      <c r="E84" s="30"/>
    </row>
    <row r="85" spans="1:5">
      <c r="A85" s="5"/>
      <c r="B85" s="5"/>
      <c r="C85" s="5"/>
      <c r="D85" s="5"/>
      <c r="E85" s="30"/>
    </row>
    <row r="86" spans="1:5">
      <c r="A86" s="5"/>
      <c r="B86" s="5"/>
      <c r="C86" s="5"/>
      <c r="D86" s="5"/>
      <c r="E86" s="30"/>
    </row>
    <row r="87" spans="1:5">
      <c r="A87" s="5"/>
      <c r="B87" s="5"/>
      <c r="C87" s="5"/>
      <c r="D87" s="5"/>
      <c r="E87" s="30"/>
    </row>
    <row r="88" spans="1:5">
      <c r="A88" s="5"/>
      <c r="B88" s="5"/>
      <c r="C88" s="5"/>
      <c r="D88" s="5"/>
      <c r="E88" s="30"/>
    </row>
    <row r="89" spans="1:5">
      <c r="A89" s="5"/>
      <c r="B89" s="5"/>
      <c r="C89" s="5"/>
      <c r="D89" s="5"/>
      <c r="E89" s="30"/>
    </row>
    <row r="90" spans="1:5">
      <c r="A90" s="5"/>
      <c r="B90" s="5"/>
      <c r="C90" s="5"/>
      <c r="D90" s="5"/>
      <c r="E90" s="30"/>
    </row>
  </sheetData>
  <phoneticPr fontId="7"/>
  <pageMargins left="0.7" right="0.7" top="0.75" bottom="0.75" header="0.3" footer="0.3"/>
  <pageSetup paperSize="9" scale="51" orientation="portrait" r:id="rId1"/>
  <colBreaks count="1" manualBreakCount="1">
    <brk id="5"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B0FB7-183A-4A8B-827A-FCF4A79203C6}">
  <sheetPr codeName="Sheet102">
    <tabColor theme="0" tint="-0.499984740745262"/>
  </sheetPr>
  <dimension ref="A1:H61"/>
  <sheetViews>
    <sheetView topLeftCell="A32" workbookViewId="0">
      <selection activeCell="B50" sqref="B50"/>
    </sheetView>
  </sheetViews>
  <sheetFormatPr defaultColWidth="9" defaultRowHeight="13.5"/>
  <cols>
    <col min="1" max="1" width="9.375" style="7" customWidth="1"/>
    <col min="2" max="2" width="80.625" style="54" customWidth="1"/>
    <col min="3" max="3" width="20.875" style="7" customWidth="1"/>
    <col min="4" max="5" width="11.5" style="7" bestFit="1" customWidth="1"/>
    <col min="6" max="6" width="9" style="7"/>
    <col min="7" max="7" width="9" style="19"/>
    <col min="8" max="8" width="10.5" style="19" bestFit="1" customWidth="1"/>
    <col min="9" max="16384" width="9" style="7"/>
  </cols>
  <sheetData>
    <row r="1" spans="1:8" ht="21">
      <c r="A1" s="1" t="s">
        <v>6</v>
      </c>
      <c r="B1" s="1"/>
      <c r="C1" s="6"/>
      <c r="D1" s="6"/>
      <c r="E1" s="6"/>
    </row>
    <row r="2" spans="1:8">
      <c r="A2" s="6"/>
      <c r="B2" s="6"/>
      <c r="C2" s="6"/>
      <c r="D2" s="6"/>
      <c r="E2" s="6"/>
    </row>
    <row r="3" spans="1:8" ht="14.25" thickBot="1">
      <c r="A3" s="8" t="s">
        <v>7</v>
      </c>
      <c r="B3" s="8" t="s">
        <v>8</v>
      </c>
      <c r="C3" s="8" t="s">
        <v>9</v>
      </c>
      <c r="D3" s="8" t="s">
        <v>10</v>
      </c>
      <c r="E3" s="8" t="s">
        <v>3</v>
      </c>
      <c r="G3" s="19" t="s">
        <v>10</v>
      </c>
      <c r="H3" s="19" t="s">
        <v>3</v>
      </c>
    </row>
    <row r="4" spans="1:8" ht="19.5" thickTop="1">
      <c r="A4" s="9" t="s">
        <v>144</v>
      </c>
      <c r="B4" s="37" t="s">
        <v>145</v>
      </c>
      <c r="C4" s="10" t="s">
        <v>180</v>
      </c>
      <c r="D4" s="11" t="str">
        <f>IF((ISBLANK($E4)),"",_xlfn.XLOOKUP($E4,テーブル1[ユーザー名],テーブル1[氏名],""))</f>
        <v>平野　翔士</v>
      </c>
      <c r="E4" s="12">
        <v>7075685</v>
      </c>
      <c r="G4" s="19" t="s">
        <v>31</v>
      </c>
      <c r="H4" s="19">
        <v>7075685</v>
      </c>
    </row>
    <row r="5" spans="1:8" ht="48">
      <c r="A5" s="9" t="s">
        <v>179</v>
      </c>
      <c r="B5" s="38" t="s">
        <v>185</v>
      </c>
      <c r="C5" s="13" t="s">
        <v>184</v>
      </c>
      <c r="D5" s="11" t="str">
        <f>IF((ISBLANK($E5)),"",_xlfn.XLOOKUP($E5,テーブル1[ユーザー名],テーブル1[氏名],""))</f>
        <v>平野　翔士</v>
      </c>
      <c r="E5" s="14">
        <v>7075685</v>
      </c>
    </row>
    <row r="6" spans="1:8" ht="72">
      <c r="A6" s="9" t="s">
        <v>183</v>
      </c>
      <c r="B6" s="38" t="s">
        <v>186</v>
      </c>
      <c r="C6" s="13" t="s">
        <v>189</v>
      </c>
      <c r="D6" s="11" t="str">
        <f>IF((ISBLANK($E6)),"",_xlfn.XLOOKUP($E6,テーブル1[ユーザー名],テーブル1[氏名],""))</f>
        <v>平野　翔士</v>
      </c>
      <c r="E6" s="14">
        <v>7075685</v>
      </c>
    </row>
    <row r="7" spans="1:8" ht="36">
      <c r="A7" s="9" t="s">
        <v>187</v>
      </c>
      <c r="B7" s="38" t="s">
        <v>191</v>
      </c>
      <c r="C7" s="13" t="s">
        <v>190</v>
      </c>
      <c r="D7" s="11" t="str">
        <f>IF((ISBLANK($E7)),"",_xlfn.XLOOKUP($E7,テーブル1[ユーザー名],テーブル1[氏名],""))</f>
        <v>平野　翔士</v>
      </c>
      <c r="E7" s="14">
        <v>7075685</v>
      </c>
    </row>
    <row r="8" spans="1:8" ht="60">
      <c r="A8" s="9" t="s">
        <v>188</v>
      </c>
      <c r="B8" s="38" t="s">
        <v>193</v>
      </c>
      <c r="C8" s="13" t="s">
        <v>192</v>
      </c>
      <c r="D8" s="11" t="str">
        <f>IF((ISBLANK($E8)),"",_xlfn.XLOOKUP($E8,テーブル1[ユーザー名],テーブル1[氏名],""))</f>
        <v>平野　翔士</v>
      </c>
      <c r="E8" s="14">
        <v>7075685</v>
      </c>
    </row>
    <row r="9" spans="1:8" ht="18.75">
      <c r="A9" s="9" t="s">
        <v>194</v>
      </c>
      <c r="B9" s="38" t="s">
        <v>196</v>
      </c>
      <c r="C9" s="13" t="s">
        <v>195</v>
      </c>
      <c r="D9" s="11" t="str">
        <f>IF((ISBLANK($E9)),"",_xlfn.XLOOKUP($E9,テーブル1[ユーザー名],テーブル1[氏名],""))</f>
        <v>平野　翔士</v>
      </c>
      <c r="E9" s="14">
        <v>7075685</v>
      </c>
    </row>
    <row r="10" spans="1:8" ht="18.75">
      <c r="A10" s="9" t="s">
        <v>199</v>
      </c>
      <c r="B10" s="38" t="s">
        <v>200</v>
      </c>
      <c r="C10" s="13" t="s">
        <v>201</v>
      </c>
      <c r="D10" s="11" t="str">
        <f>IF((ISBLANK($E10)),"",_xlfn.XLOOKUP($E10,テーブル1[ユーザー名],テーブル1[氏名],""))</f>
        <v>平野　翔士</v>
      </c>
      <c r="E10" s="14">
        <v>7075685</v>
      </c>
    </row>
    <row r="11" spans="1:8" ht="18.75">
      <c r="A11" s="15" t="s">
        <v>202</v>
      </c>
      <c r="B11" s="38" t="s">
        <v>203</v>
      </c>
      <c r="C11" s="13" t="s">
        <v>204</v>
      </c>
      <c r="D11" s="11" t="str">
        <f>IF((ISBLANK($E11)),"",_xlfn.XLOOKUP($E11,テーブル1[ユーザー名],テーブル1[氏名],""))</f>
        <v>平野　翔士</v>
      </c>
      <c r="E11" s="14">
        <v>7075685</v>
      </c>
    </row>
    <row r="12" spans="1:8" ht="18.75">
      <c r="A12" s="15" t="s">
        <v>202</v>
      </c>
      <c r="B12" s="38" t="s">
        <v>2076</v>
      </c>
      <c r="C12" s="13" t="s">
        <v>2077</v>
      </c>
      <c r="D12" s="11" t="str">
        <f>IF((ISBLANK($E12)),"",_xlfn.XLOOKUP($E12,テーブル1[ユーザー名],テーブル1[氏名],""))</f>
        <v>平野　翔士</v>
      </c>
      <c r="E12" s="14">
        <v>7075685</v>
      </c>
    </row>
    <row r="13" spans="1:8" ht="18.75">
      <c r="A13" s="15" t="s">
        <v>202</v>
      </c>
      <c r="B13" s="38" t="s">
        <v>2078</v>
      </c>
      <c r="C13" s="13" t="s">
        <v>2079</v>
      </c>
      <c r="D13" s="11" t="str">
        <f>IF((ISBLANK($E13)),"",_xlfn.XLOOKUP($E13,テーブル1[ユーザー名],テーブル1[氏名],""))</f>
        <v>平野　翔士</v>
      </c>
      <c r="E13" s="14">
        <v>7075685</v>
      </c>
    </row>
    <row r="14" spans="1:8" ht="18.75">
      <c r="A14" s="15" t="s">
        <v>2082</v>
      </c>
      <c r="B14" s="38" t="s">
        <v>2083</v>
      </c>
      <c r="C14" s="13" t="s">
        <v>2084</v>
      </c>
      <c r="D14" s="11" t="str">
        <f>IF((ISBLANK($E14)),"",_xlfn.XLOOKUP($E14,テーブル1[ユーザー名],テーブル1[氏名],""))</f>
        <v>平野　翔士</v>
      </c>
      <c r="E14" s="14">
        <v>7075685</v>
      </c>
    </row>
    <row r="15" spans="1:8" ht="18.75">
      <c r="A15" s="15" t="s">
        <v>2082</v>
      </c>
      <c r="B15" s="38" t="s">
        <v>2089</v>
      </c>
      <c r="C15" s="13" t="s">
        <v>2090</v>
      </c>
      <c r="D15" s="11" t="str">
        <f>IF((ISBLANK($E15)),"",_xlfn.XLOOKUP($E15,テーブル1[ユーザー名],テーブル1[氏名],""))</f>
        <v>平野　翔士</v>
      </c>
      <c r="E15" s="14">
        <v>7075685</v>
      </c>
    </row>
    <row r="16" spans="1:8" ht="18.75">
      <c r="A16" s="15" t="s">
        <v>2091</v>
      </c>
      <c r="B16" s="38" t="s">
        <v>2096</v>
      </c>
      <c r="C16" s="13" t="s">
        <v>2097</v>
      </c>
      <c r="D16" s="11" t="str">
        <f>IF((ISBLANK($E16)),"",_xlfn.XLOOKUP($E16,テーブル1[ユーザー名],テーブル1[氏名],""))</f>
        <v>平野　翔士</v>
      </c>
      <c r="E16" s="14">
        <v>7075685</v>
      </c>
    </row>
    <row r="17" spans="1:5" ht="18.75">
      <c r="A17" s="15" t="s">
        <v>2091</v>
      </c>
      <c r="B17" s="39" t="s">
        <v>2098</v>
      </c>
      <c r="C17" s="13" t="s">
        <v>2097</v>
      </c>
      <c r="D17" s="11" t="str">
        <f>IF((ISBLANK($E17)),"",_xlfn.XLOOKUP($E17,テーブル1[ユーザー名],テーブル1[氏名],""))</f>
        <v>平野　翔士</v>
      </c>
      <c r="E17" s="14">
        <v>7075685</v>
      </c>
    </row>
    <row r="18" spans="1:5" ht="24">
      <c r="A18" s="15" t="s">
        <v>2103</v>
      </c>
      <c r="B18" s="152" t="s">
        <v>2099</v>
      </c>
      <c r="C18" s="13" t="s">
        <v>2100</v>
      </c>
      <c r="D18" s="11" t="str">
        <f>IF((ISBLANK($E18)),"",_xlfn.XLOOKUP($E18,テーブル1[ユーザー名],テーブル1[氏名],""))</f>
        <v>平野　翔士</v>
      </c>
      <c r="E18" s="14">
        <v>7075685</v>
      </c>
    </row>
    <row r="19" spans="1:5" ht="18.75">
      <c r="A19" s="15" t="s">
        <v>2103</v>
      </c>
      <c r="B19" s="153" t="s">
        <v>2101</v>
      </c>
      <c r="C19" s="13" t="s">
        <v>2102</v>
      </c>
      <c r="D19" s="11" t="str">
        <f>IF((ISBLANK($E19)),"",_xlfn.XLOOKUP($E19,テーブル1[ユーザー名],テーブル1[氏名],""))</f>
        <v>平野　翔士</v>
      </c>
      <c r="E19" s="14">
        <v>7075685</v>
      </c>
    </row>
    <row r="20" spans="1:5" ht="18.75">
      <c r="A20" s="15" t="s">
        <v>2104</v>
      </c>
      <c r="B20" s="38" t="s">
        <v>2107</v>
      </c>
      <c r="C20" s="13" t="s">
        <v>2108</v>
      </c>
      <c r="D20" s="11" t="str">
        <f>IF((ISBLANK($E20)),"",_xlfn.XLOOKUP($E20,テーブル1[ユーザー名],テーブル1[氏名],""))</f>
        <v>平野　翔士</v>
      </c>
      <c r="E20" s="14">
        <v>7075685</v>
      </c>
    </row>
    <row r="21" spans="1:5" ht="18.75">
      <c r="A21" s="15" t="s">
        <v>2109</v>
      </c>
      <c r="B21" s="39" t="s">
        <v>2110</v>
      </c>
      <c r="C21" s="13" t="s">
        <v>2111</v>
      </c>
      <c r="D21" s="11" t="str">
        <f>IF((ISBLANK($E21)),"",_xlfn.XLOOKUP($E21,テーブル1[ユーザー名],テーブル1[氏名],""))</f>
        <v>平野　翔士</v>
      </c>
      <c r="E21" s="14">
        <v>7075685</v>
      </c>
    </row>
    <row r="22" spans="1:5" ht="18.75">
      <c r="A22" s="15" t="s">
        <v>2109</v>
      </c>
      <c r="B22" s="39" t="s">
        <v>2125</v>
      </c>
      <c r="C22" s="13" t="s">
        <v>2126</v>
      </c>
      <c r="D22" s="11" t="str">
        <f>IF((ISBLANK($E22)),"",_xlfn.XLOOKUP($E22,テーブル1[ユーザー名],テーブル1[氏名],""))</f>
        <v>平野　翔士</v>
      </c>
      <c r="E22" s="14">
        <v>7075685</v>
      </c>
    </row>
    <row r="23" spans="1:5" ht="18.75">
      <c r="A23" s="15" t="s">
        <v>2128</v>
      </c>
      <c r="B23" s="39" t="s">
        <v>2129</v>
      </c>
      <c r="C23" s="13" t="s">
        <v>2130</v>
      </c>
      <c r="D23" s="11" t="str">
        <f>IF((ISBLANK($E23)),"",_xlfn.XLOOKUP($E23,テーブル1[ユーザー名],テーブル1[氏名],""))</f>
        <v>平野　翔士</v>
      </c>
      <c r="E23" s="14">
        <v>7075685</v>
      </c>
    </row>
    <row r="24" spans="1:5" ht="18.75">
      <c r="A24" s="15" t="s">
        <v>2128</v>
      </c>
      <c r="B24" s="38" t="s">
        <v>2131</v>
      </c>
      <c r="C24" s="13" t="s">
        <v>2132</v>
      </c>
      <c r="D24" s="11" t="str">
        <f>IF((ISBLANK($E24)),"",_xlfn.XLOOKUP($E24,テーブル1[ユーザー名],テーブル1[氏名],""))</f>
        <v>平野　翔士</v>
      </c>
      <c r="E24" s="14">
        <v>7075685</v>
      </c>
    </row>
    <row r="25" spans="1:5" ht="24">
      <c r="A25" s="15" t="s">
        <v>2134</v>
      </c>
      <c r="B25" s="38" t="s">
        <v>2136</v>
      </c>
      <c r="C25" s="13" t="s">
        <v>2135</v>
      </c>
      <c r="D25" s="11" t="str">
        <f>IF((ISBLANK($E25)),"",_xlfn.XLOOKUP($E25,テーブル1[ユーザー名],テーブル1[氏名],""))</f>
        <v>平野　翔士</v>
      </c>
      <c r="E25" s="14">
        <v>7075685</v>
      </c>
    </row>
    <row r="26" spans="1:5" ht="18.75">
      <c r="A26" s="15" t="s">
        <v>2134</v>
      </c>
      <c r="B26" s="39" t="s">
        <v>2137</v>
      </c>
      <c r="C26" s="13" t="s">
        <v>2138</v>
      </c>
      <c r="D26" s="11" t="str">
        <f>IF((ISBLANK($E26)),"",_xlfn.XLOOKUP($E26,テーブル1[ユーザー名],テーブル1[氏名],""))</f>
        <v>平野　翔士</v>
      </c>
      <c r="E26" s="14">
        <v>7075685</v>
      </c>
    </row>
    <row r="27" spans="1:5" ht="18.75">
      <c r="A27" s="15" t="s">
        <v>2139</v>
      </c>
      <c r="B27" s="39" t="s">
        <v>2140</v>
      </c>
      <c r="C27" s="13" t="s">
        <v>2141</v>
      </c>
      <c r="D27" s="11" t="str">
        <f>IF((ISBLANK($E27)),"",_xlfn.XLOOKUP($E27,テーブル1[ユーザー名],テーブル1[氏名],""))</f>
        <v>平野　翔士</v>
      </c>
      <c r="E27" s="14">
        <v>7075685</v>
      </c>
    </row>
    <row r="28" spans="1:5" ht="18.75">
      <c r="A28" s="15" t="s">
        <v>2139</v>
      </c>
      <c r="B28" s="38" t="s">
        <v>2142</v>
      </c>
      <c r="C28" s="13" t="s">
        <v>2143</v>
      </c>
      <c r="D28" s="11" t="str">
        <f>IF((ISBLANK($E28)),"",_xlfn.XLOOKUP($E28,テーブル1[ユーザー名],テーブル1[氏名],""))</f>
        <v>平野　翔士</v>
      </c>
      <c r="E28" s="14">
        <v>7075685</v>
      </c>
    </row>
    <row r="29" spans="1:5" ht="48">
      <c r="A29" s="15" t="s">
        <v>2144</v>
      </c>
      <c r="B29" s="152" t="s">
        <v>2145</v>
      </c>
      <c r="C29" s="13" t="s">
        <v>2146</v>
      </c>
      <c r="D29" s="11" t="str">
        <f>IF((ISBLANK($E29)),"",_xlfn.XLOOKUP($E29,テーブル1[ユーザー名],テーブル1[氏名],""))</f>
        <v>平野　翔士</v>
      </c>
      <c r="E29" s="14">
        <v>7075685</v>
      </c>
    </row>
    <row r="30" spans="1:5" ht="24">
      <c r="A30" s="15" t="s">
        <v>2147</v>
      </c>
      <c r="B30" s="152" t="s">
        <v>2148</v>
      </c>
      <c r="C30" s="13" t="s">
        <v>2149</v>
      </c>
      <c r="D30" s="11" t="str">
        <f>IF((ISBLANK($E30)),"",_xlfn.XLOOKUP($E30,テーブル1[ユーザー名],テーブル1[氏名],""))</f>
        <v>平野　翔士</v>
      </c>
      <c r="E30" s="14">
        <v>7075685</v>
      </c>
    </row>
    <row r="31" spans="1:5" ht="60">
      <c r="A31" s="15" t="s">
        <v>2147</v>
      </c>
      <c r="B31" s="38" t="s">
        <v>2152</v>
      </c>
      <c r="C31" s="13" t="s">
        <v>2151</v>
      </c>
      <c r="D31" s="11" t="str">
        <f>IF((ISBLANK($E31)),"",_xlfn.XLOOKUP($E31,テーブル1[ユーザー名],テーブル1[氏名],""))</f>
        <v>平野　翔士</v>
      </c>
      <c r="E31" s="14">
        <v>7075685</v>
      </c>
    </row>
    <row r="32" spans="1:5" ht="18.75">
      <c r="A32" s="15" t="s">
        <v>2150</v>
      </c>
      <c r="B32" s="170" t="s">
        <v>2153</v>
      </c>
      <c r="C32" s="13" t="s">
        <v>2154</v>
      </c>
      <c r="D32" s="11" t="str">
        <f>IF((ISBLANK($E32)),"",_xlfn.XLOOKUP($E32,テーブル1[ユーザー名],テーブル1[氏名],""))</f>
        <v>平野　翔士</v>
      </c>
      <c r="E32" s="14">
        <v>7075685</v>
      </c>
    </row>
    <row r="33" spans="1:5" ht="18.75">
      <c r="A33" s="15" t="s">
        <v>2150</v>
      </c>
      <c r="B33" s="171" t="s">
        <v>2155</v>
      </c>
      <c r="C33" s="13" t="s">
        <v>2156</v>
      </c>
      <c r="D33" s="11" t="str">
        <f>IF((ISBLANK($E33)),"",_xlfn.XLOOKUP($E33,テーブル1[ユーザー名],テーブル1[氏名],""))</f>
        <v>平野　翔士</v>
      </c>
      <c r="E33" s="14">
        <v>7075685</v>
      </c>
    </row>
    <row r="34" spans="1:5" ht="18.75">
      <c r="A34" s="15" t="s">
        <v>2150</v>
      </c>
      <c r="B34" s="39" t="s">
        <v>2157</v>
      </c>
      <c r="C34" s="13" t="s">
        <v>2158</v>
      </c>
      <c r="D34" s="11" t="str">
        <f>IF((ISBLANK($E34)),"",_xlfn.XLOOKUP($E34,テーブル1[ユーザー名],テーブル1[氏名],""))</f>
        <v>平野　翔士</v>
      </c>
      <c r="E34" s="14">
        <v>7075685</v>
      </c>
    </row>
    <row r="35" spans="1:5" ht="24">
      <c r="A35" s="15" t="s">
        <v>2159</v>
      </c>
      <c r="B35" s="152" t="s">
        <v>2160</v>
      </c>
      <c r="C35" s="13" t="s">
        <v>2161</v>
      </c>
      <c r="D35" s="11" t="str">
        <f>IF((ISBLANK($E35)),"",_xlfn.XLOOKUP($E35,テーブル1[ユーザー名],テーブル1[氏名],""))</f>
        <v>平野　翔士</v>
      </c>
      <c r="E35" s="14">
        <v>7075685</v>
      </c>
    </row>
    <row r="36" spans="1:5" ht="18.75">
      <c r="A36" s="15" t="s">
        <v>2159</v>
      </c>
      <c r="B36" s="39" t="s">
        <v>2162</v>
      </c>
      <c r="C36" s="13" t="s">
        <v>2163</v>
      </c>
      <c r="D36" s="11" t="str">
        <f>IF((ISBLANK($E36)),"",_xlfn.XLOOKUP($E36,テーブル1[ユーザー名],テーブル1[氏名],""))</f>
        <v>平野　翔士</v>
      </c>
      <c r="E36" s="14">
        <v>7075685</v>
      </c>
    </row>
    <row r="37" spans="1:5" ht="18.75">
      <c r="A37" s="15" t="s">
        <v>2159</v>
      </c>
      <c r="B37" s="171" t="s">
        <v>2164</v>
      </c>
      <c r="C37" s="13" t="s">
        <v>2165</v>
      </c>
      <c r="D37" s="11" t="str">
        <f>IF((ISBLANK($E37)),"",_xlfn.XLOOKUP($E37,テーブル1[ユーザー名],テーブル1[氏名],""))</f>
        <v>平野　翔士</v>
      </c>
      <c r="E37" s="14">
        <v>7075685</v>
      </c>
    </row>
    <row r="38" spans="1:5" ht="36">
      <c r="A38" s="15" t="s">
        <v>2159</v>
      </c>
      <c r="B38" s="38" t="s">
        <v>2167</v>
      </c>
      <c r="C38" s="13" t="s">
        <v>2166</v>
      </c>
      <c r="D38" s="11" t="str">
        <f>IF((ISBLANK($E38)),"",_xlfn.XLOOKUP($E38,テーブル1[ユーザー名],テーブル1[氏名],""))</f>
        <v>平野　翔士</v>
      </c>
      <c r="E38" s="14">
        <v>7075685</v>
      </c>
    </row>
    <row r="39" spans="1:5" ht="18.75">
      <c r="A39" s="15" t="s">
        <v>2159</v>
      </c>
      <c r="B39" s="39" t="s">
        <v>2169</v>
      </c>
      <c r="C39" s="13" t="s">
        <v>2170</v>
      </c>
      <c r="D39" s="11" t="str">
        <f>IF((ISBLANK($E39)),"",_xlfn.XLOOKUP($E39,テーブル1[ユーザー名],テーブル1[氏名],""))</f>
        <v>平野　翔士</v>
      </c>
      <c r="E39" s="14">
        <v>7075685</v>
      </c>
    </row>
    <row r="40" spans="1:5" ht="48">
      <c r="A40" s="15" t="s">
        <v>2168</v>
      </c>
      <c r="B40" s="38" t="s">
        <v>2171</v>
      </c>
      <c r="C40" s="13" t="s">
        <v>2172</v>
      </c>
      <c r="D40" s="11" t="str">
        <f>IF((ISBLANK($E40)),"",_xlfn.XLOOKUP($E40,テーブル1[ユーザー名],テーブル1[氏名],""))</f>
        <v>平野　翔士</v>
      </c>
      <c r="E40" s="14">
        <v>7075685</v>
      </c>
    </row>
    <row r="41" spans="1:5" ht="18.75">
      <c r="A41" s="15" t="s">
        <v>2173</v>
      </c>
      <c r="B41" s="39" t="s">
        <v>2174</v>
      </c>
      <c r="C41" s="13" t="s">
        <v>2175</v>
      </c>
      <c r="D41" s="11" t="str">
        <f>IF((ISBLANK($E41)),"",_xlfn.XLOOKUP($E41,テーブル1[ユーザー名],テーブル1[氏名],""))</f>
        <v>平野　翔士</v>
      </c>
      <c r="E41" s="14">
        <v>7075685</v>
      </c>
    </row>
    <row r="42" spans="1:5" ht="24">
      <c r="A42" s="15" t="s">
        <v>2179</v>
      </c>
      <c r="B42" s="38" t="s">
        <v>2181</v>
      </c>
      <c r="C42" s="13" t="s">
        <v>2182</v>
      </c>
      <c r="D42" s="11" t="str">
        <f>IF((ISBLANK($E42)),"",_xlfn.XLOOKUP($E42,テーブル1[ユーザー名],テーブル1[氏名],""))</f>
        <v>平野　翔士</v>
      </c>
      <c r="E42" s="14">
        <v>7075685</v>
      </c>
    </row>
    <row r="43" spans="1:5" ht="18.75">
      <c r="A43" s="15" t="s">
        <v>2180</v>
      </c>
      <c r="B43" s="39" t="s">
        <v>2183</v>
      </c>
      <c r="C43" s="13" t="s">
        <v>2182</v>
      </c>
      <c r="D43" s="11" t="str">
        <f>IF((ISBLANK($E43)),"",_xlfn.XLOOKUP($E43,テーブル1[ユーザー名],テーブル1[氏名],""))</f>
        <v>平野　翔士</v>
      </c>
      <c r="E43" s="14">
        <v>7075685</v>
      </c>
    </row>
    <row r="44" spans="1:5" ht="36">
      <c r="A44" s="15" t="s">
        <v>2186</v>
      </c>
      <c r="B44" s="38" t="s">
        <v>2351</v>
      </c>
      <c r="C44" s="13" t="s">
        <v>2352</v>
      </c>
      <c r="D44" s="11" t="str">
        <f>IF((ISBLANK($E44)),"",_xlfn.XLOOKUP($E44,テーブル1[ユーザー名],テーブル1[氏名],""))</f>
        <v>平野　翔士</v>
      </c>
      <c r="E44" s="14">
        <v>7075685</v>
      </c>
    </row>
    <row r="45" spans="1:5" ht="18.75">
      <c r="A45" s="15" t="s">
        <v>2186</v>
      </c>
      <c r="B45" s="39" t="s">
        <v>2349</v>
      </c>
      <c r="C45" s="13" t="s">
        <v>2350</v>
      </c>
      <c r="D45" s="11" t="str">
        <f>IF((ISBLANK($E45)),"",_xlfn.XLOOKUP($E45,テーブル1[ユーザー名],テーブル1[氏名],""))</f>
        <v>平野　翔士</v>
      </c>
      <c r="E45" s="14">
        <v>7075685</v>
      </c>
    </row>
    <row r="46" spans="1:5" ht="18.75">
      <c r="A46" s="15" t="s">
        <v>2186</v>
      </c>
      <c r="B46" s="39" t="s">
        <v>2368</v>
      </c>
      <c r="C46" s="13" t="s">
        <v>2369</v>
      </c>
      <c r="D46" s="11" t="str">
        <f>IF((ISBLANK($E46)),"",_xlfn.XLOOKUP($E46,テーブル1[ユーザー名],テーブル1[氏名],""))</f>
        <v>平野　翔士</v>
      </c>
      <c r="E46" s="14">
        <v>7075685</v>
      </c>
    </row>
    <row r="47" spans="1:5" ht="18.75">
      <c r="A47" s="15" t="s">
        <v>2186</v>
      </c>
      <c r="B47" s="39" t="s">
        <v>2370</v>
      </c>
      <c r="C47" s="13" t="s">
        <v>2371</v>
      </c>
      <c r="D47" s="11" t="str">
        <f>IF((ISBLANK($E47)),"",_xlfn.XLOOKUP($E47,テーブル1[ユーザー名],テーブル1[氏名],""))</f>
        <v>平野　翔士</v>
      </c>
      <c r="E47" s="14">
        <v>7075685</v>
      </c>
    </row>
    <row r="48" spans="1:5" ht="18.75">
      <c r="A48" s="15" t="s">
        <v>2186</v>
      </c>
      <c r="B48" s="39" t="s">
        <v>2372</v>
      </c>
      <c r="C48" s="13" t="s">
        <v>2371</v>
      </c>
      <c r="D48" s="11" t="str">
        <f>IF((ISBLANK($E48)),"",_xlfn.XLOOKUP($E48,テーブル1[ユーザー名],テーブル1[氏名],""))</f>
        <v>平野　翔士</v>
      </c>
      <c r="E48" s="14">
        <v>7075685</v>
      </c>
    </row>
    <row r="49" spans="1:5" ht="18.75">
      <c r="A49" s="15" t="s">
        <v>2373</v>
      </c>
      <c r="B49" s="39" t="s">
        <v>2396</v>
      </c>
      <c r="C49" s="13" t="s">
        <v>2397</v>
      </c>
      <c r="D49" s="11" t="str">
        <f>IF((ISBLANK($E49)),"",_xlfn.XLOOKUP($E49,テーブル1[ユーザー名],テーブル1[氏名],""))</f>
        <v>平野　翔士</v>
      </c>
      <c r="E49" s="14">
        <v>7075685</v>
      </c>
    </row>
    <row r="50" spans="1:5" ht="18.75">
      <c r="A50" s="229"/>
      <c r="B50" s="230"/>
      <c r="C50" s="231"/>
      <c r="D50" s="11" t="str">
        <f>IF((ISBLANK($E50)),"",_xlfn.XLOOKUP($E50,テーブル1[ユーザー名],テーブル1[氏名],""))</f>
        <v/>
      </c>
      <c r="E50" s="232"/>
    </row>
    <row r="51" spans="1:5" ht="18.75">
      <c r="A51" s="229"/>
      <c r="B51" s="230"/>
      <c r="C51" s="231"/>
      <c r="D51" s="11" t="str">
        <f>IF((ISBLANK($E51)),"",_xlfn.XLOOKUP($E51,テーブル1[ユーザー名],テーブル1[氏名],""))</f>
        <v/>
      </c>
      <c r="E51" s="232"/>
    </row>
    <row r="52" spans="1:5" ht="18.75">
      <c r="A52" s="229"/>
      <c r="B52" s="230"/>
      <c r="C52" s="231"/>
      <c r="D52" s="11" t="str">
        <f>IF((ISBLANK($E52)),"",_xlfn.XLOOKUP($E52,テーブル1[ユーザー名],テーブル1[氏名],""))</f>
        <v/>
      </c>
      <c r="E52" s="232"/>
    </row>
    <row r="53" spans="1:5" ht="18.75">
      <c r="A53" s="229"/>
      <c r="B53" s="230"/>
      <c r="C53" s="231"/>
      <c r="D53" s="11" t="str">
        <f>IF((ISBLANK($E53)),"",_xlfn.XLOOKUP($E53,テーブル1[ユーザー名],テーブル1[氏名],""))</f>
        <v/>
      </c>
      <c r="E53" s="232"/>
    </row>
    <row r="54" spans="1:5" ht="18.75">
      <c r="A54" s="229"/>
      <c r="B54" s="230"/>
      <c r="C54" s="231"/>
      <c r="D54" s="11" t="str">
        <f>IF((ISBLANK($E54)),"",_xlfn.XLOOKUP($E54,テーブル1[ユーザー名],テーブル1[氏名],""))</f>
        <v/>
      </c>
      <c r="E54" s="232"/>
    </row>
    <row r="55" spans="1:5" ht="18.75">
      <c r="A55" s="229"/>
      <c r="B55" s="230"/>
      <c r="C55" s="231"/>
      <c r="D55" s="11" t="str">
        <f>IF((ISBLANK($E55)),"",_xlfn.XLOOKUP($E55,テーブル1[ユーザー名],テーブル1[氏名],""))</f>
        <v/>
      </c>
      <c r="E55" s="232"/>
    </row>
    <row r="56" spans="1:5" ht="18.75">
      <c r="A56" s="229"/>
      <c r="B56" s="230"/>
      <c r="C56" s="231"/>
      <c r="D56" s="11" t="str">
        <f>IF((ISBLANK($E56)),"",_xlfn.XLOOKUP($E56,テーブル1[ユーザー名],テーブル1[氏名],""))</f>
        <v/>
      </c>
      <c r="E56" s="232"/>
    </row>
    <row r="57" spans="1:5" ht="18.75">
      <c r="A57" s="229"/>
      <c r="B57" s="230"/>
      <c r="C57" s="231"/>
      <c r="D57" s="11" t="str">
        <f>IF((ISBLANK($E57)),"",_xlfn.XLOOKUP($E57,テーブル1[ユーザー名],テーブル1[氏名],""))</f>
        <v/>
      </c>
      <c r="E57" s="232"/>
    </row>
    <row r="58" spans="1:5" ht="18.75">
      <c r="A58" s="229"/>
      <c r="B58" s="230"/>
      <c r="C58" s="231"/>
      <c r="D58" s="11" t="str">
        <f>IF((ISBLANK($E58)),"",_xlfn.XLOOKUP($E58,テーブル1[ユーザー名],テーブル1[氏名],""))</f>
        <v/>
      </c>
      <c r="E58" s="232"/>
    </row>
    <row r="59" spans="1:5" ht="18.75">
      <c r="A59" s="229"/>
      <c r="B59" s="230"/>
      <c r="C59" s="231"/>
      <c r="D59" s="11" t="str">
        <f>IF((ISBLANK($E59)),"",_xlfn.XLOOKUP($E59,テーブル1[ユーザー名],テーブル1[氏名],""))</f>
        <v/>
      </c>
      <c r="E59" s="232"/>
    </row>
    <row r="60" spans="1:5" ht="18.75">
      <c r="A60" s="229"/>
      <c r="B60" s="230"/>
      <c r="C60" s="231"/>
      <c r="D60" s="11" t="str">
        <f>IF((ISBLANK($E60)),"",_xlfn.XLOOKUP($E60,テーブル1[ユーザー名],テーブル1[氏名],""))</f>
        <v/>
      </c>
      <c r="E60" s="232"/>
    </row>
    <row r="61" spans="1:5" ht="18.75">
      <c r="A61" s="16"/>
      <c r="B61" s="53"/>
      <c r="C61" s="17"/>
      <c r="D61" s="17" t="str">
        <f>IF((ISBLANK($E61)),"",_xlfn.XLOOKUP($E61,テーブル1[ユーザー名],テーブル1[氏名],""))</f>
        <v/>
      </c>
      <c r="E61" s="18"/>
    </row>
  </sheetData>
  <phoneticPr fontId="7"/>
  <conditionalFormatting sqref="A4:A60">
    <cfRule type="expression" dxfId="35" priority="2">
      <formula>A4=A3</formula>
    </cfRule>
  </conditionalFormatting>
  <conditionalFormatting sqref="A61">
    <cfRule type="expression" dxfId="34" priority="59">
      <formula>A61=A49</formula>
    </cfRule>
  </conditionalFormatting>
  <pageMargins left="0.7" right="0.7" top="0.75" bottom="0.75" header="0.3" footer="0.3"/>
  <pageSetup paperSize="9" scale="5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683B-40A8-4B7D-A2A7-5A2FD80ABD24}">
  <sheetPr codeName="Sheet1">
    <tabColor rgb="FF808080"/>
  </sheetPr>
  <dimension ref="A1:J2734"/>
  <sheetViews>
    <sheetView workbookViewId="0"/>
  </sheetViews>
  <sheetFormatPr defaultRowHeight="18.75"/>
  <cols>
    <col min="1" max="1" width="3.125" customWidth="1"/>
    <col min="2" max="2" width="9.25" bestFit="1" customWidth="1"/>
    <col min="3" max="4" width="3.625" customWidth="1"/>
    <col min="5" max="5" width="14.25" bestFit="1" customWidth="1"/>
    <col min="7" max="7" width="102.125" bestFit="1" customWidth="1"/>
    <col min="8" max="9" width="3.125" customWidth="1"/>
  </cols>
  <sheetData>
    <row r="1" spans="1:10" ht="21">
      <c r="A1" s="173" t="s">
        <v>2330</v>
      </c>
    </row>
    <row r="2" spans="1:10">
      <c r="A2" t="s">
        <v>2326</v>
      </c>
      <c r="E2" t="s">
        <v>2325</v>
      </c>
      <c r="G2" t="s">
        <v>2331</v>
      </c>
      <c r="I2" t="s">
        <v>2332</v>
      </c>
    </row>
    <row r="3" spans="1:10">
      <c r="B3" s="114" t="s">
        <v>2080</v>
      </c>
      <c r="E3" s="200" t="s">
        <v>2318</v>
      </c>
      <c r="G3" s="200" t="s">
        <v>2319</v>
      </c>
      <c r="J3" s="200" t="s">
        <v>2328</v>
      </c>
    </row>
    <row r="4" spans="1:10" ht="27">
      <c r="B4" s="115">
        <v>45292</v>
      </c>
      <c r="E4" s="217" t="s">
        <v>2320</v>
      </c>
      <c r="G4" s="218" t="s">
        <v>2321</v>
      </c>
      <c r="J4" s="218" t="s">
        <v>2329</v>
      </c>
    </row>
    <row r="5" spans="1:10">
      <c r="B5" s="116">
        <v>45658</v>
      </c>
      <c r="E5" s="219">
        <v>331</v>
      </c>
      <c r="G5" s="220"/>
      <c r="J5" s="172" t="s">
        <v>2355</v>
      </c>
    </row>
    <row r="6" spans="1:10">
      <c r="B6" s="115">
        <v>46023</v>
      </c>
      <c r="E6" s="219">
        <v>630</v>
      </c>
      <c r="G6" s="221"/>
      <c r="J6" s="172" t="s">
        <v>2356</v>
      </c>
    </row>
    <row r="7" spans="1:10">
      <c r="B7" s="116">
        <v>46388</v>
      </c>
      <c r="E7" s="219">
        <v>930</v>
      </c>
      <c r="G7" s="222" t="s">
        <v>2322</v>
      </c>
      <c r="J7" s="172" t="s">
        <v>2357</v>
      </c>
    </row>
    <row r="8" spans="1:10">
      <c r="B8" s="115">
        <v>46753</v>
      </c>
      <c r="E8" s="219">
        <v>1231</v>
      </c>
      <c r="G8" s="218" t="s">
        <v>2323</v>
      </c>
      <c r="J8" s="172" t="s">
        <v>2358</v>
      </c>
    </row>
    <row r="9" spans="1:10">
      <c r="B9" s="116">
        <v>47119</v>
      </c>
      <c r="E9" s="219"/>
      <c r="G9" s="223" t="s">
        <v>2324</v>
      </c>
      <c r="J9" s="172" t="s">
        <v>2353</v>
      </c>
    </row>
    <row r="10" spans="1:10">
      <c r="B10" s="115">
        <v>47484</v>
      </c>
      <c r="E10" s="219"/>
      <c r="G10" s="221"/>
      <c r="J10" s="172" t="s">
        <v>2359</v>
      </c>
    </row>
    <row r="11" spans="1:10">
      <c r="B11" s="116">
        <v>47849</v>
      </c>
      <c r="E11" s="219"/>
      <c r="G11" s="221"/>
      <c r="J11" s="172" t="s">
        <v>2360</v>
      </c>
    </row>
    <row r="12" spans="1:10">
      <c r="B12" s="115">
        <v>48214</v>
      </c>
      <c r="E12" s="219"/>
      <c r="G12" s="221"/>
      <c r="J12" s="172" t="s">
        <v>2361</v>
      </c>
    </row>
    <row r="13" spans="1:10">
      <c r="B13" s="117">
        <v>48580</v>
      </c>
      <c r="E13" s="219"/>
      <c r="G13" s="221"/>
      <c r="J13" s="172" t="s">
        <v>2362</v>
      </c>
    </row>
    <row r="14" spans="1:10">
      <c r="B14" s="115">
        <v>48945</v>
      </c>
      <c r="E14" s="224"/>
      <c r="G14" s="221"/>
      <c r="J14" s="172" t="s">
        <v>2365</v>
      </c>
    </row>
    <row r="15" spans="1:10">
      <c r="B15" s="117">
        <v>49310</v>
      </c>
      <c r="E15" s="224"/>
      <c r="G15" s="221"/>
      <c r="J15" s="172" t="s">
        <v>2354</v>
      </c>
    </row>
    <row r="16" spans="1:10">
      <c r="B16" s="115">
        <v>49675</v>
      </c>
      <c r="J16" s="172" t="s">
        <v>2366</v>
      </c>
    </row>
    <row r="17" spans="2:10">
      <c r="B17" s="116">
        <v>50041</v>
      </c>
      <c r="J17" s="172" t="s">
        <v>2367</v>
      </c>
    </row>
    <row r="18" spans="2:10">
      <c r="B18" s="115">
        <v>50406</v>
      </c>
      <c r="J18" s="172"/>
    </row>
    <row r="19" spans="2:10">
      <c r="B19" s="116">
        <v>50771</v>
      </c>
      <c r="J19" s="172"/>
    </row>
    <row r="20" spans="2:10">
      <c r="B20" s="115">
        <v>51136</v>
      </c>
      <c r="J20" s="172"/>
    </row>
    <row r="21" spans="2:10">
      <c r="B21" s="116">
        <v>51502</v>
      </c>
      <c r="J21" s="172"/>
    </row>
    <row r="22" spans="2:10">
      <c r="B22" s="115">
        <v>51867</v>
      </c>
      <c r="J22" s="172"/>
    </row>
    <row r="23" spans="2:10">
      <c r="B23" s="116">
        <v>52232</v>
      </c>
      <c r="J23" s="172"/>
    </row>
    <row r="24" spans="2:10">
      <c r="B24" s="115">
        <v>52597</v>
      </c>
      <c r="J24" s="172"/>
    </row>
    <row r="25" spans="2:10">
      <c r="B25" s="117">
        <v>52963</v>
      </c>
      <c r="J25" s="172"/>
    </row>
    <row r="26" spans="2:10">
      <c r="B26" s="115">
        <v>53328</v>
      </c>
      <c r="J26" s="172"/>
    </row>
    <row r="27" spans="2:10">
      <c r="B27" s="117">
        <v>53693</v>
      </c>
      <c r="J27" s="172"/>
    </row>
    <row r="28" spans="2:10">
      <c r="B28" s="115">
        <v>54058</v>
      </c>
      <c r="J28" s="172"/>
    </row>
    <row r="29" spans="2:10">
      <c r="B29" s="116">
        <v>54424</v>
      </c>
      <c r="J29" s="172"/>
    </row>
    <row r="30" spans="2:10">
      <c r="B30" s="115">
        <v>54789</v>
      </c>
      <c r="J30" s="172"/>
    </row>
    <row r="31" spans="2:10">
      <c r="B31" s="116">
        <v>55154</v>
      </c>
      <c r="J31" s="172"/>
    </row>
    <row r="32" spans="2:10">
      <c r="B32" s="115">
        <v>55519</v>
      </c>
      <c r="J32" s="172"/>
    </row>
    <row r="33" spans="2:10">
      <c r="B33" s="116">
        <v>55885</v>
      </c>
      <c r="J33" s="172"/>
    </row>
    <row r="34" spans="2:10">
      <c r="B34" s="115">
        <v>56250</v>
      </c>
      <c r="J34" s="172"/>
    </row>
    <row r="35" spans="2:10">
      <c r="B35" s="116">
        <v>56615</v>
      </c>
      <c r="J35" s="172"/>
    </row>
    <row r="36" spans="2:10">
      <c r="B36" s="115">
        <v>56980</v>
      </c>
      <c r="J36" s="172"/>
    </row>
    <row r="37" spans="2:10">
      <c r="B37" s="117">
        <v>57346</v>
      </c>
      <c r="J37" s="172"/>
    </row>
    <row r="38" spans="2:10">
      <c r="B38" s="115">
        <v>57711</v>
      </c>
      <c r="J38" s="172"/>
    </row>
    <row r="39" spans="2:10">
      <c r="B39" s="117">
        <v>58076</v>
      </c>
      <c r="J39" s="172"/>
    </row>
    <row r="40" spans="2:10">
      <c r="B40" s="115">
        <v>58441</v>
      </c>
      <c r="J40" s="172"/>
    </row>
    <row r="41" spans="2:10">
      <c r="B41" s="116">
        <v>58807</v>
      </c>
      <c r="J41" s="172"/>
    </row>
    <row r="42" spans="2:10">
      <c r="B42" s="115">
        <v>59172</v>
      </c>
      <c r="J42" s="172"/>
    </row>
    <row r="43" spans="2:10">
      <c r="B43" s="116">
        <v>59537</v>
      </c>
      <c r="J43" s="172"/>
    </row>
    <row r="44" spans="2:10">
      <c r="B44" s="115">
        <v>59902</v>
      </c>
      <c r="J44" s="172"/>
    </row>
    <row r="45" spans="2:10">
      <c r="B45" s="116">
        <v>60268</v>
      </c>
      <c r="J45" s="172"/>
    </row>
    <row r="46" spans="2:10">
      <c r="B46" s="115">
        <v>60633</v>
      </c>
      <c r="J46" s="172"/>
    </row>
    <row r="47" spans="2:10">
      <c r="B47" s="116">
        <v>60998</v>
      </c>
      <c r="J47" s="172"/>
    </row>
    <row r="48" spans="2:10">
      <c r="B48" s="115">
        <v>61363</v>
      </c>
      <c r="J48" s="172"/>
    </row>
    <row r="49" spans="2:10">
      <c r="B49" s="117">
        <v>61729</v>
      </c>
      <c r="J49" s="172"/>
    </row>
    <row r="50" spans="2:10">
      <c r="B50" s="115">
        <v>62094</v>
      </c>
      <c r="J50" s="172"/>
    </row>
    <row r="51" spans="2:10">
      <c r="B51" s="117">
        <v>62459</v>
      </c>
      <c r="J51" s="172"/>
    </row>
    <row r="52" spans="2:10">
      <c r="B52" s="115">
        <v>62824</v>
      </c>
      <c r="J52" s="172"/>
    </row>
    <row r="53" spans="2:10">
      <c r="B53" s="116">
        <v>63190</v>
      </c>
      <c r="J53" s="172"/>
    </row>
    <row r="54" spans="2:10">
      <c r="B54" s="115">
        <v>63555</v>
      </c>
      <c r="J54" s="172"/>
    </row>
    <row r="55" spans="2:10">
      <c r="B55" s="116">
        <v>63920</v>
      </c>
      <c r="J55" s="172"/>
    </row>
    <row r="56" spans="2:10">
      <c r="B56" s="115">
        <v>64285</v>
      </c>
      <c r="J56" s="172"/>
    </row>
    <row r="57" spans="2:10">
      <c r="B57" s="116">
        <v>64651</v>
      </c>
      <c r="J57" s="172"/>
    </row>
    <row r="58" spans="2:10">
      <c r="B58" s="115">
        <v>65016</v>
      </c>
      <c r="J58" s="172"/>
    </row>
    <row r="59" spans="2:10">
      <c r="B59" s="116">
        <v>65381</v>
      </c>
      <c r="J59" s="172"/>
    </row>
    <row r="60" spans="2:10">
      <c r="B60" s="115">
        <v>65746</v>
      </c>
      <c r="J60" s="172"/>
    </row>
    <row r="61" spans="2:10">
      <c r="B61" s="117">
        <v>66112</v>
      </c>
      <c r="J61" s="172"/>
    </row>
    <row r="62" spans="2:10">
      <c r="B62" s="115">
        <v>66477</v>
      </c>
      <c r="J62" s="172"/>
    </row>
    <row r="63" spans="2:10">
      <c r="B63" s="117">
        <v>66842</v>
      </c>
      <c r="J63" s="172"/>
    </row>
    <row r="64" spans="2:10">
      <c r="B64" s="115">
        <v>67207</v>
      </c>
      <c r="J64" s="172"/>
    </row>
    <row r="65" spans="2:10">
      <c r="B65" s="116">
        <v>67573</v>
      </c>
      <c r="J65" s="172"/>
    </row>
    <row r="66" spans="2:10">
      <c r="B66" s="115">
        <v>67938</v>
      </c>
      <c r="J66" s="172"/>
    </row>
    <row r="67" spans="2:10">
      <c r="B67" s="116">
        <v>68303</v>
      </c>
      <c r="J67" s="172"/>
    </row>
    <row r="68" spans="2:10">
      <c r="B68" s="115">
        <v>68668</v>
      </c>
      <c r="J68" s="172"/>
    </row>
    <row r="69" spans="2:10">
      <c r="B69" s="116">
        <v>69034</v>
      </c>
      <c r="J69" s="172"/>
    </row>
    <row r="70" spans="2:10">
      <c r="B70" s="115">
        <v>69399</v>
      </c>
      <c r="J70" s="172"/>
    </row>
    <row r="71" spans="2:10">
      <c r="B71" s="116">
        <v>69764</v>
      </c>
      <c r="J71" s="172"/>
    </row>
    <row r="72" spans="2:10">
      <c r="B72" s="115">
        <v>70129</v>
      </c>
      <c r="J72" s="172"/>
    </row>
    <row r="73" spans="2:10">
      <c r="B73" s="117">
        <v>70495</v>
      </c>
      <c r="J73" s="172"/>
    </row>
    <row r="74" spans="2:10">
      <c r="B74" s="115">
        <v>70860</v>
      </c>
      <c r="J74" s="172"/>
    </row>
    <row r="75" spans="2:10">
      <c r="B75" s="117">
        <v>71225</v>
      </c>
      <c r="J75" s="172"/>
    </row>
    <row r="76" spans="2:10">
      <c r="B76" s="115">
        <v>71590</v>
      </c>
      <c r="J76" s="172"/>
    </row>
    <row r="77" spans="2:10">
      <c r="B77" s="116">
        <v>71956</v>
      </c>
      <c r="J77" s="172"/>
    </row>
    <row r="78" spans="2:10">
      <c r="B78" s="115">
        <v>72321</v>
      </c>
      <c r="J78" s="172"/>
    </row>
    <row r="79" spans="2:10">
      <c r="B79" s="116">
        <v>72686</v>
      </c>
      <c r="J79" s="172"/>
    </row>
    <row r="80" spans="2:10">
      <c r="B80" s="115">
        <v>73051</v>
      </c>
      <c r="J80" s="172"/>
    </row>
    <row r="81" spans="2:10">
      <c r="B81" s="116">
        <v>73416</v>
      </c>
      <c r="J81" s="172"/>
    </row>
    <row r="82" spans="2:10">
      <c r="B82" s="115">
        <v>73781</v>
      </c>
      <c r="J82" s="172"/>
    </row>
    <row r="83" spans="2:10">
      <c r="B83" s="116">
        <v>74146</v>
      </c>
      <c r="J83" s="172"/>
    </row>
    <row r="84" spans="2:10">
      <c r="B84" s="115">
        <v>74511</v>
      </c>
      <c r="J84" s="172"/>
    </row>
    <row r="85" spans="2:10">
      <c r="B85" s="117">
        <v>74877</v>
      </c>
      <c r="J85" s="172"/>
    </row>
    <row r="86" spans="2:10">
      <c r="B86" s="115">
        <v>75242</v>
      </c>
      <c r="J86" s="172"/>
    </row>
    <row r="87" spans="2:10">
      <c r="B87" s="117">
        <v>75607</v>
      </c>
      <c r="J87" s="172"/>
    </row>
    <row r="88" spans="2:10">
      <c r="B88" s="115">
        <v>75972</v>
      </c>
      <c r="J88" s="172"/>
    </row>
    <row r="89" spans="2:10">
      <c r="B89" s="116">
        <v>76338</v>
      </c>
      <c r="J89" s="172"/>
    </row>
    <row r="90" spans="2:10">
      <c r="B90" s="115">
        <v>76703</v>
      </c>
      <c r="J90" s="172"/>
    </row>
    <row r="91" spans="2:10">
      <c r="B91" s="116">
        <v>77068</v>
      </c>
      <c r="J91" s="172"/>
    </row>
    <row r="92" spans="2:10">
      <c r="B92" s="115">
        <v>77433</v>
      </c>
      <c r="J92" s="172"/>
    </row>
    <row r="93" spans="2:10">
      <c r="B93" s="116">
        <v>77799</v>
      </c>
      <c r="J93" s="172"/>
    </row>
    <row r="94" spans="2:10">
      <c r="B94" s="115">
        <v>78164</v>
      </c>
      <c r="J94" s="172"/>
    </row>
    <row r="95" spans="2:10">
      <c r="B95" s="116">
        <v>78529</v>
      </c>
      <c r="J95" s="172"/>
    </row>
    <row r="96" spans="2:10">
      <c r="B96" s="115">
        <v>78894</v>
      </c>
      <c r="J96" s="172"/>
    </row>
    <row r="97" spans="2:10">
      <c r="B97" s="117">
        <v>79260</v>
      </c>
      <c r="J97" s="172"/>
    </row>
    <row r="98" spans="2:10">
      <c r="B98" s="115">
        <v>79625</v>
      </c>
      <c r="J98" s="172"/>
    </row>
    <row r="99" spans="2:10">
      <c r="B99" s="117">
        <v>79990</v>
      </c>
      <c r="J99" s="172"/>
    </row>
    <row r="100" spans="2:10">
      <c r="B100" s="115">
        <v>80355</v>
      </c>
      <c r="J100" s="172"/>
    </row>
    <row r="101" spans="2:10">
      <c r="B101" s="116">
        <v>80721</v>
      </c>
      <c r="J101" s="172"/>
    </row>
    <row r="102" spans="2:10">
      <c r="B102" s="115">
        <v>81086</v>
      </c>
      <c r="J102" s="172"/>
    </row>
    <row r="103" spans="2:10">
      <c r="B103" s="116">
        <v>81451</v>
      </c>
      <c r="J103" s="172"/>
    </row>
    <row r="104" spans="2:10">
      <c r="B104" s="115">
        <v>81816</v>
      </c>
      <c r="J104" s="172"/>
    </row>
    <row r="105" spans="2:10">
      <c r="B105" s="116">
        <v>82182</v>
      </c>
      <c r="J105" s="172"/>
    </row>
    <row r="106" spans="2:10">
      <c r="B106" s="115">
        <v>82547</v>
      </c>
      <c r="J106" s="172"/>
    </row>
    <row r="107" spans="2:10">
      <c r="B107" s="116">
        <v>82912</v>
      </c>
      <c r="J107" s="172"/>
    </row>
    <row r="108" spans="2:10">
      <c r="B108" s="115">
        <v>83277</v>
      </c>
      <c r="J108" s="172"/>
    </row>
    <row r="109" spans="2:10">
      <c r="B109" s="117">
        <v>83643</v>
      </c>
      <c r="J109" s="172"/>
    </row>
    <row r="110" spans="2:10">
      <c r="B110" s="115">
        <v>84008</v>
      </c>
      <c r="J110" s="172"/>
    </row>
    <row r="111" spans="2:10">
      <c r="B111" s="117">
        <v>84373</v>
      </c>
    </row>
    <row r="112" spans="2:10">
      <c r="B112" s="115">
        <v>84738</v>
      </c>
    </row>
    <row r="113" spans="2:2">
      <c r="B113" s="116">
        <v>85104</v>
      </c>
    </row>
    <row r="114" spans="2:2">
      <c r="B114" s="115">
        <v>85469</v>
      </c>
    </row>
    <row r="115" spans="2:2">
      <c r="B115" s="116">
        <v>85834</v>
      </c>
    </row>
    <row r="116" spans="2:2">
      <c r="B116" s="115">
        <v>86199</v>
      </c>
    </row>
    <row r="117" spans="2:2">
      <c r="B117" s="116">
        <v>86565</v>
      </c>
    </row>
    <row r="118" spans="2:2">
      <c r="B118" s="115">
        <v>86930</v>
      </c>
    </row>
    <row r="119" spans="2:2">
      <c r="B119" s="116">
        <v>87295</v>
      </c>
    </row>
    <row r="120" spans="2:2">
      <c r="B120" s="115">
        <v>87660</v>
      </c>
    </row>
    <row r="121" spans="2:2">
      <c r="B121" s="117">
        <v>88026</v>
      </c>
    </row>
    <row r="122" spans="2:2">
      <c r="B122" s="115">
        <v>88391</v>
      </c>
    </row>
    <row r="123" spans="2:2">
      <c r="B123" s="117">
        <v>88756</v>
      </c>
    </row>
    <row r="124" spans="2:2">
      <c r="B124" s="115">
        <v>89121</v>
      </c>
    </row>
    <row r="125" spans="2:2">
      <c r="B125" s="116">
        <v>89487</v>
      </c>
    </row>
    <row r="126" spans="2:2">
      <c r="B126" s="115">
        <v>89852</v>
      </c>
    </row>
    <row r="127" spans="2:2">
      <c r="B127" s="116">
        <v>90217</v>
      </c>
    </row>
    <row r="128" spans="2:2">
      <c r="B128" s="115">
        <v>90582</v>
      </c>
    </row>
    <row r="129" spans="2:2">
      <c r="B129" s="116">
        <v>90948</v>
      </c>
    </row>
    <row r="130" spans="2:2">
      <c r="B130" s="115">
        <v>91313</v>
      </c>
    </row>
    <row r="131" spans="2:2">
      <c r="B131" s="116">
        <v>91678</v>
      </c>
    </row>
    <row r="132" spans="2:2">
      <c r="B132" s="115">
        <v>92043</v>
      </c>
    </row>
    <row r="133" spans="2:2">
      <c r="B133" s="117">
        <v>92409</v>
      </c>
    </row>
    <row r="134" spans="2:2">
      <c r="B134" s="115">
        <v>92774</v>
      </c>
    </row>
    <row r="135" spans="2:2">
      <c r="B135" s="117">
        <v>93139</v>
      </c>
    </row>
    <row r="136" spans="2:2">
      <c r="B136" s="115">
        <v>93504</v>
      </c>
    </row>
    <row r="137" spans="2:2">
      <c r="B137" s="116">
        <v>93870</v>
      </c>
    </row>
    <row r="138" spans="2:2">
      <c r="B138" s="115">
        <v>94235</v>
      </c>
    </row>
    <row r="139" spans="2:2">
      <c r="B139" s="116">
        <v>94600</v>
      </c>
    </row>
    <row r="140" spans="2:2">
      <c r="B140" s="115">
        <v>94965</v>
      </c>
    </row>
    <row r="141" spans="2:2">
      <c r="B141" s="116">
        <v>95331</v>
      </c>
    </row>
    <row r="142" spans="2:2">
      <c r="B142" s="115">
        <v>95696</v>
      </c>
    </row>
    <row r="143" spans="2:2">
      <c r="B143" s="116">
        <v>96061</v>
      </c>
    </row>
    <row r="144" spans="2:2">
      <c r="B144" s="115">
        <v>96426</v>
      </c>
    </row>
    <row r="145" spans="2:2">
      <c r="B145" s="117">
        <v>96792</v>
      </c>
    </row>
    <row r="146" spans="2:2">
      <c r="B146" s="115">
        <v>97157</v>
      </c>
    </row>
    <row r="147" spans="2:2">
      <c r="B147" s="117">
        <v>97522</v>
      </c>
    </row>
    <row r="148" spans="2:2">
      <c r="B148" s="115">
        <v>97887</v>
      </c>
    </row>
    <row r="149" spans="2:2">
      <c r="B149" s="116">
        <v>98253</v>
      </c>
    </row>
    <row r="150" spans="2:2">
      <c r="B150" s="115">
        <v>98618</v>
      </c>
    </row>
    <row r="151" spans="2:2">
      <c r="B151" s="116">
        <v>98983</v>
      </c>
    </row>
    <row r="152" spans="2:2">
      <c r="B152" s="115">
        <v>99348</v>
      </c>
    </row>
    <row r="153" spans="2:2">
      <c r="B153" s="116">
        <v>99714</v>
      </c>
    </row>
    <row r="154" spans="2:2">
      <c r="B154" s="115">
        <v>100079</v>
      </c>
    </row>
    <row r="155" spans="2:2">
      <c r="B155" s="116">
        <v>100444</v>
      </c>
    </row>
    <row r="156" spans="2:2">
      <c r="B156" s="115">
        <v>100809</v>
      </c>
    </row>
    <row r="157" spans="2:2">
      <c r="B157" s="117">
        <v>101175</v>
      </c>
    </row>
    <row r="158" spans="2:2">
      <c r="B158" s="115">
        <v>101540</v>
      </c>
    </row>
    <row r="159" spans="2:2">
      <c r="B159" s="117">
        <v>101905</v>
      </c>
    </row>
    <row r="160" spans="2:2">
      <c r="B160" s="115">
        <v>102270</v>
      </c>
    </row>
    <row r="161" spans="2:2">
      <c r="B161" s="116">
        <v>102636</v>
      </c>
    </row>
    <row r="162" spans="2:2">
      <c r="B162" s="115">
        <v>103001</v>
      </c>
    </row>
    <row r="163" spans="2:2">
      <c r="B163" s="116">
        <v>103366</v>
      </c>
    </row>
    <row r="164" spans="2:2">
      <c r="B164" s="115">
        <v>103731</v>
      </c>
    </row>
    <row r="165" spans="2:2">
      <c r="B165" s="116">
        <v>104097</v>
      </c>
    </row>
    <row r="166" spans="2:2">
      <c r="B166" s="115">
        <v>104462</v>
      </c>
    </row>
    <row r="167" spans="2:2">
      <c r="B167" s="116">
        <v>104827</v>
      </c>
    </row>
    <row r="168" spans="2:2">
      <c r="B168" s="115">
        <v>105192</v>
      </c>
    </row>
    <row r="169" spans="2:2">
      <c r="B169" s="117">
        <v>105558</v>
      </c>
    </row>
    <row r="170" spans="2:2">
      <c r="B170" s="115">
        <v>105923</v>
      </c>
    </row>
    <row r="171" spans="2:2">
      <c r="B171" s="117">
        <v>106288</v>
      </c>
    </row>
    <row r="172" spans="2:2">
      <c r="B172" s="115">
        <v>106653</v>
      </c>
    </row>
    <row r="173" spans="2:2">
      <c r="B173" s="116">
        <v>107019</v>
      </c>
    </row>
    <row r="174" spans="2:2">
      <c r="B174" s="115">
        <v>107384</v>
      </c>
    </row>
    <row r="175" spans="2:2">
      <c r="B175" s="116">
        <v>107749</v>
      </c>
    </row>
    <row r="176" spans="2:2">
      <c r="B176" s="115">
        <v>108114</v>
      </c>
    </row>
    <row r="177" spans="2:2">
      <c r="B177" s="116">
        <v>108480</v>
      </c>
    </row>
    <row r="178" spans="2:2">
      <c r="B178" s="115">
        <v>108845</v>
      </c>
    </row>
    <row r="179" spans="2:2">
      <c r="B179" s="116">
        <v>109210</v>
      </c>
    </row>
    <row r="180" spans="2:2">
      <c r="B180" s="115">
        <v>109575</v>
      </c>
    </row>
    <row r="181" spans="2:2">
      <c r="B181" s="117">
        <v>109940</v>
      </c>
    </row>
    <row r="182" spans="2:2">
      <c r="B182" s="115">
        <v>110305</v>
      </c>
    </row>
    <row r="183" spans="2:2">
      <c r="B183" s="117">
        <v>110670</v>
      </c>
    </row>
    <row r="184" spans="2:2">
      <c r="B184" s="115">
        <v>111035</v>
      </c>
    </row>
    <row r="185" spans="2:2">
      <c r="B185" s="116">
        <v>111401</v>
      </c>
    </row>
    <row r="186" spans="2:2">
      <c r="B186" s="115">
        <v>111766</v>
      </c>
    </row>
    <row r="187" spans="2:2">
      <c r="B187" s="116">
        <v>112131</v>
      </c>
    </row>
    <row r="188" spans="2:2">
      <c r="B188" s="115">
        <v>112496</v>
      </c>
    </row>
    <row r="189" spans="2:2">
      <c r="B189" s="116">
        <v>112862</v>
      </c>
    </row>
    <row r="190" spans="2:2">
      <c r="B190" s="115">
        <v>113227</v>
      </c>
    </row>
    <row r="191" spans="2:2">
      <c r="B191" s="116">
        <v>113592</v>
      </c>
    </row>
    <row r="192" spans="2:2">
      <c r="B192" s="115">
        <v>113957</v>
      </c>
    </row>
    <row r="193" spans="2:2">
      <c r="B193" s="117">
        <v>114323</v>
      </c>
    </row>
    <row r="194" spans="2:2">
      <c r="B194" s="115">
        <v>114688</v>
      </c>
    </row>
    <row r="195" spans="2:2">
      <c r="B195" s="117">
        <v>115053</v>
      </c>
    </row>
    <row r="196" spans="2:2">
      <c r="B196" s="115">
        <v>115418</v>
      </c>
    </row>
    <row r="197" spans="2:2">
      <c r="B197" s="116">
        <v>115784</v>
      </c>
    </row>
    <row r="198" spans="2:2">
      <c r="B198" s="115">
        <v>116149</v>
      </c>
    </row>
    <row r="199" spans="2:2">
      <c r="B199" s="116">
        <v>116514</v>
      </c>
    </row>
    <row r="200" spans="2:2">
      <c r="B200" s="115">
        <v>116879</v>
      </c>
    </row>
    <row r="201" spans="2:2">
      <c r="B201" s="116">
        <v>117245</v>
      </c>
    </row>
    <row r="202" spans="2:2">
      <c r="B202" s="115">
        <v>117610</v>
      </c>
    </row>
    <row r="203" spans="2:2">
      <c r="B203" s="116">
        <v>117975</v>
      </c>
    </row>
    <row r="204" spans="2:2">
      <c r="B204" s="115">
        <v>118340</v>
      </c>
    </row>
    <row r="205" spans="2:2">
      <c r="B205" s="117">
        <v>118706</v>
      </c>
    </row>
    <row r="206" spans="2:2">
      <c r="B206" s="115">
        <v>119071</v>
      </c>
    </row>
    <row r="207" spans="2:2">
      <c r="B207" s="117">
        <v>119436</v>
      </c>
    </row>
    <row r="208" spans="2:2">
      <c r="B208" s="115">
        <v>119801</v>
      </c>
    </row>
    <row r="209" spans="2:2">
      <c r="B209" s="116">
        <v>120167</v>
      </c>
    </row>
    <row r="210" spans="2:2">
      <c r="B210" s="115">
        <v>120532</v>
      </c>
    </row>
    <row r="211" spans="2:2">
      <c r="B211" s="116">
        <v>120897</v>
      </c>
    </row>
    <row r="212" spans="2:2">
      <c r="B212" s="115">
        <v>121262</v>
      </c>
    </row>
    <row r="213" spans="2:2">
      <c r="B213" s="116">
        <v>121628</v>
      </c>
    </row>
    <row r="214" spans="2:2">
      <c r="B214" s="115">
        <v>121993</v>
      </c>
    </row>
    <row r="215" spans="2:2">
      <c r="B215" s="116">
        <v>122358</v>
      </c>
    </row>
    <row r="216" spans="2:2">
      <c r="B216" s="115">
        <v>122723</v>
      </c>
    </row>
    <row r="217" spans="2:2">
      <c r="B217" s="117">
        <v>123089</v>
      </c>
    </row>
    <row r="218" spans="2:2">
      <c r="B218" s="115">
        <v>123454</v>
      </c>
    </row>
    <row r="219" spans="2:2">
      <c r="B219" s="117">
        <v>123819</v>
      </c>
    </row>
    <row r="220" spans="2:2">
      <c r="B220" s="115">
        <v>124184</v>
      </c>
    </row>
    <row r="221" spans="2:2">
      <c r="B221" s="116">
        <v>124550</v>
      </c>
    </row>
    <row r="222" spans="2:2">
      <c r="B222" s="115">
        <v>124915</v>
      </c>
    </row>
    <row r="223" spans="2:2">
      <c r="B223" s="116">
        <v>125280</v>
      </c>
    </row>
    <row r="224" spans="2:2">
      <c r="B224" s="115">
        <v>125645</v>
      </c>
    </row>
    <row r="225" spans="2:2">
      <c r="B225" s="116">
        <v>126011</v>
      </c>
    </row>
    <row r="226" spans="2:2">
      <c r="B226" s="115">
        <v>126376</v>
      </c>
    </row>
    <row r="227" spans="2:2">
      <c r="B227" s="116">
        <v>126741</v>
      </c>
    </row>
    <row r="228" spans="2:2">
      <c r="B228" s="115">
        <v>127106</v>
      </c>
    </row>
    <row r="229" spans="2:2">
      <c r="B229" s="117">
        <v>127472</v>
      </c>
    </row>
    <row r="230" spans="2:2">
      <c r="B230" s="115">
        <v>127837</v>
      </c>
    </row>
    <row r="231" spans="2:2">
      <c r="B231" s="117">
        <v>128202</v>
      </c>
    </row>
    <row r="232" spans="2:2">
      <c r="B232" s="115">
        <v>128567</v>
      </c>
    </row>
    <row r="233" spans="2:2">
      <c r="B233" s="116">
        <v>128933</v>
      </c>
    </row>
    <row r="234" spans="2:2">
      <c r="B234" s="115">
        <v>129298</v>
      </c>
    </row>
    <row r="235" spans="2:2">
      <c r="B235" s="116">
        <v>129663</v>
      </c>
    </row>
    <row r="236" spans="2:2">
      <c r="B236" s="115">
        <v>130028</v>
      </c>
    </row>
    <row r="237" spans="2:2">
      <c r="B237" s="116">
        <v>130394</v>
      </c>
    </row>
    <row r="238" spans="2:2">
      <c r="B238" s="115">
        <v>130759</v>
      </c>
    </row>
    <row r="239" spans="2:2">
      <c r="B239" s="116">
        <v>131124</v>
      </c>
    </row>
    <row r="240" spans="2:2">
      <c r="B240" s="115">
        <v>131489</v>
      </c>
    </row>
    <row r="241" spans="2:2">
      <c r="B241" s="117">
        <v>131855</v>
      </c>
    </row>
    <row r="242" spans="2:2">
      <c r="B242" s="115">
        <v>132220</v>
      </c>
    </row>
    <row r="243" spans="2:2">
      <c r="B243" s="117">
        <v>132585</v>
      </c>
    </row>
    <row r="244" spans="2:2">
      <c r="B244" s="115">
        <v>132950</v>
      </c>
    </row>
    <row r="245" spans="2:2">
      <c r="B245" s="116">
        <v>133316</v>
      </c>
    </row>
    <row r="246" spans="2:2">
      <c r="B246" s="115">
        <v>133681</v>
      </c>
    </row>
    <row r="247" spans="2:2">
      <c r="B247" s="116">
        <v>134046</v>
      </c>
    </row>
    <row r="248" spans="2:2">
      <c r="B248" s="115">
        <v>134411</v>
      </c>
    </row>
    <row r="249" spans="2:2">
      <c r="B249" s="116">
        <v>134777</v>
      </c>
    </row>
    <row r="250" spans="2:2">
      <c r="B250" s="115">
        <v>135142</v>
      </c>
    </row>
    <row r="251" spans="2:2">
      <c r="B251" s="116">
        <v>135507</v>
      </c>
    </row>
    <row r="252" spans="2:2">
      <c r="B252" s="115">
        <v>135872</v>
      </c>
    </row>
    <row r="253" spans="2:2">
      <c r="B253" s="117">
        <v>136238</v>
      </c>
    </row>
    <row r="254" spans="2:2">
      <c r="B254" s="115">
        <v>136603</v>
      </c>
    </row>
    <row r="255" spans="2:2">
      <c r="B255" s="117">
        <v>136968</v>
      </c>
    </row>
    <row r="256" spans="2:2">
      <c r="B256" s="115">
        <v>137333</v>
      </c>
    </row>
    <row r="257" spans="2:2">
      <c r="B257" s="116">
        <v>137699</v>
      </c>
    </row>
    <row r="258" spans="2:2">
      <c r="B258" s="115">
        <v>138064</v>
      </c>
    </row>
    <row r="259" spans="2:2">
      <c r="B259" s="116">
        <v>138429</v>
      </c>
    </row>
    <row r="260" spans="2:2">
      <c r="B260" s="115">
        <v>138794</v>
      </c>
    </row>
    <row r="261" spans="2:2">
      <c r="B261" s="116">
        <v>139160</v>
      </c>
    </row>
    <row r="262" spans="2:2">
      <c r="B262" s="115">
        <v>139525</v>
      </c>
    </row>
    <row r="263" spans="2:2">
      <c r="B263" s="116">
        <v>139890</v>
      </c>
    </row>
    <row r="264" spans="2:2">
      <c r="B264" s="115">
        <v>140255</v>
      </c>
    </row>
    <row r="265" spans="2:2">
      <c r="B265" s="117">
        <v>140621</v>
      </c>
    </row>
    <row r="266" spans="2:2">
      <c r="B266" s="115">
        <v>140986</v>
      </c>
    </row>
    <row r="267" spans="2:2">
      <c r="B267" s="117">
        <v>141351</v>
      </c>
    </row>
    <row r="268" spans="2:2">
      <c r="B268" s="115">
        <v>141716</v>
      </c>
    </row>
    <row r="269" spans="2:2">
      <c r="B269" s="116">
        <v>142082</v>
      </c>
    </row>
    <row r="270" spans="2:2">
      <c r="B270" s="115">
        <v>142447</v>
      </c>
    </row>
    <row r="271" spans="2:2">
      <c r="B271" s="116">
        <v>142812</v>
      </c>
    </row>
    <row r="272" spans="2:2">
      <c r="B272" s="115">
        <v>143177</v>
      </c>
    </row>
    <row r="273" spans="2:2">
      <c r="B273" s="116">
        <v>143543</v>
      </c>
    </row>
    <row r="274" spans="2:2">
      <c r="B274" s="115">
        <v>143908</v>
      </c>
    </row>
    <row r="275" spans="2:2">
      <c r="B275" s="116">
        <v>144273</v>
      </c>
    </row>
    <row r="276" spans="2:2">
      <c r="B276" s="115">
        <v>144638</v>
      </c>
    </row>
    <row r="277" spans="2:2">
      <c r="B277" s="117">
        <v>145004</v>
      </c>
    </row>
    <row r="278" spans="2:2">
      <c r="B278" s="115">
        <v>145369</v>
      </c>
    </row>
    <row r="279" spans="2:2">
      <c r="B279" s="117">
        <v>145734</v>
      </c>
    </row>
    <row r="280" spans="2:2">
      <c r="B280" s="115">
        <v>146099</v>
      </c>
    </row>
    <row r="281" spans="2:2">
      <c r="B281" s="116">
        <v>146464</v>
      </c>
    </row>
    <row r="282" spans="2:2">
      <c r="B282" s="115">
        <v>146829</v>
      </c>
    </row>
    <row r="283" spans="2:2">
      <c r="B283" s="116">
        <v>147194</v>
      </c>
    </row>
    <row r="284" spans="2:2">
      <c r="B284" s="115">
        <v>147559</v>
      </c>
    </row>
    <row r="285" spans="2:2">
      <c r="B285" s="116">
        <v>147925</v>
      </c>
    </row>
    <row r="286" spans="2:2">
      <c r="B286" s="115">
        <v>148290</v>
      </c>
    </row>
    <row r="287" spans="2:2">
      <c r="B287" s="116">
        <v>148655</v>
      </c>
    </row>
    <row r="288" spans="2:2">
      <c r="B288" s="115">
        <v>149020</v>
      </c>
    </row>
    <row r="289" spans="2:2">
      <c r="B289" s="117">
        <v>149386</v>
      </c>
    </row>
    <row r="290" spans="2:2">
      <c r="B290" s="115">
        <v>149751</v>
      </c>
    </row>
    <row r="291" spans="2:2">
      <c r="B291" s="117">
        <v>150116</v>
      </c>
    </row>
    <row r="292" spans="2:2">
      <c r="B292" s="115">
        <v>150481</v>
      </c>
    </row>
    <row r="293" spans="2:2">
      <c r="B293" s="116">
        <v>150847</v>
      </c>
    </row>
    <row r="294" spans="2:2">
      <c r="B294" s="115">
        <v>151212</v>
      </c>
    </row>
    <row r="295" spans="2:2">
      <c r="B295" s="116">
        <v>151577</v>
      </c>
    </row>
    <row r="296" spans="2:2">
      <c r="B296" s="115">
        <v>151942</v>
      </c>
    </row>
    <row r="297" spans="2:2">
      <c r="B297" s="116">
        <v>152308</v>
      </c>
    </row>
    <row r="298" spans="2:2">
      <c r="B298" s="115">
        <v>152673</v>
      </c>
    </row>
    <row r="299" spans="2:2">
      <c r="B299" s="116">
        <v>153038</v>
      </c>
    </row>
    <row r="300" spans="2:2">
      <c r="B300" s="115">
        <v>153403</v>
      </c>
    </row>
    <row r="301" spans="2:2">
      <c r="B301" s="117">
        <v>153769</v>
      </c>
    </row>
    <row r="302" spans="2:2">
      <c r="B302" s="115">
        <v>154134</v>
      </c>
    </row>
    <row r="303" spans="2:2">
      <c r="B303" s="117">
        <v>154499</v>
      </c>
    </row>
    <row r="304" spans="2:2">
      <c r="B304" s="115">
        <v>154864</v>
      </c>
    </row>
    <row r="305" spans="2:2">
      <c r="B305" s="116">
        <v>155230</v>
      </c>
    </row>
    <row r="306" spans="2:2">
      <c r="B306" s="115">
        <v>155595</v>
      </c>
    </row>
    <row r="307" spans="2:2">
      <c r="B307" s="116">
        <v>155960</v>
      </c>
    </row>
    <row r="308" spans="2:2">
      <c r="B308" s="115">
        <v>156325</v>
      </c>
    </row>
    <row r="309" spans="2:2">
      <c r="B309" s="116">
        <v>156691</v>
      </c>
    </row>
    <row r="310" spans="2:2">
      <c r="B310" s="115">
        <v>157056</v>
      </c>
    </row>
    <row r="311" spans="2:2">
      <c r="B311" s="116">
        <v>157421</v>
      </c>
    </row>
    <row r="312" spans="2:2">
      <c r="B312" s="115">
        <v>157786</v>
      </c>
    </row>
    <row r="313" spans="2:2">
      <c r="B313" s="117">
        <v>158152</v>
      </c>
    </row>
    <row r="314" spans="2:2">
      <c r="B314" s="115">
        <v>158517</v>
      </c>
    </row>
    <row r="315" spans="2:2">
      <c r="B315" s="117">
        <v>158882</v>
      </c>
    </row>
    <row r="316" spans="2:2">
      <c r="B316" s="115">
        <v>159247</v>
      </c>
    </row>
    <row r="317" spans="2:2">
      <c r="B317" s="116">
        <v>159613</v>
      </c>
    </row>
    <row r="318" spans="2:2">
      <c r="B318" s="115">
        <v>159978</v>
      </c>
    </row>
    <row r="319" spans="2:2">
      <c r="B319" s="116">
        <v>160343</v>
      </c>
    </row>
    <row r="320" spans="2:2">
      <c r="B320" s="115">
        <v>160708</v>
      </c>
    </row>
    <row r="321" spans="2:2">
      <c r="B321" s="116">
        <v>161074</v>
      </c>
    </row>
    <row r="322" spans="2:2">
      <c r="B322" s="115">
        <v>161439</v>
      </c>
    </row>
    <row r="323" spans="2:2">
      <c r="B323" s="116">
        <v>161804</v>
      </c>
    </row>
    <row r="324" spans="2:2">
      <c r="B324" s="115">
        <v>162169</v>
      </c>
    </row>
    <row r="325" spans="2:2">
      <c r="B325" s="117">
        <v>162535</v>
      </c>
    </row>
    <row r="326" spans="2:2">
      <c r="B326" s="115">
        <v>162900</v>
      </c>
    </row>
    <row r="327" spans="2:2">
      <c r="B327" s="117">
        <v>163265</v>
      </c>
    </row>
    <row r="328" spans="2:2">
      <c r="B328" s="115">
        <v>163630</v>
      </c>
    </row>
    <row r="329" spans="2:2">
      <c r="B329" s="116">
        <v>163996</v>
      </c>
    </row>
    <row r="330" spans="2:2">
      <c r="B330" s="115">
        <v>164361</v>
      </c>
    </row>
    <row r="331" spans="2:2">
      <c r="B331" s="116">
        <v>164726</v>
      </c>
    </row>
    <row r="332" spans="2:2">
      <c r="B332" s="115">
        <v>165091</v>
      </c>
    </row>
    <row r="333" spans="2:2">
      <c r="B333" s="116">
        <v>165457</v>
      </c>
    </row>
    <row r="334" spans="2:2">
      <c r="B334" s="115">
        <v>165822</v>
      </c>
    </row>
    <row r="335" spans="2:2">
      <c r="B335" s="116">
        <v>166187</v>
      </c>
    </row>
    <row r="336" spans="2:2">
      <c r="B336" s="115">
        <v>166552</v>
      </c>
    </row>
    <row r="337" spans="2:2">
      <c r="B337" s="117">
        <v>166918</v>
      </c>
    </row>
    <row r="338" spans="2:2">
      <c r="B338" s="115">
        <v>167283</v>
      </c>
    </row>
    <row r="339" spans="2:2">
      <c r="B339" s="117">
        <v>167648</v>
      </c>
    </row>
    <row r="340" spans="2:2">
      <c r="B340" s="115">
        <v>168013</v>
      </c>
    </row>
    <row r="341" spans="2:2">
      <c r="B341" s="116">
        <v>168379</v>
      </c>
    </row>
    <row r="342" spans="2:2">
      <c r="B342" s="115">
        <v>168744</v>
      </c>
    </row>
    <row r="343" spans="2:2">
      <c r="B343" s="116">
        <v>169109</v>
      </c>
    </row>
    <row r="344" spans="2:2">
      <c r="B344" s="115">
        <v>169474</v>
      </c>
    </row>
    <row r="345" spans="2:2">
      <c r="B345" s="116">
        <v>169840</v>
      </c>
    </row>
    <row r="346" spans="2:2">
      <c r="B346" s="115">
        <v>170205</v>
      </c>
    </row>
    <row r="347" spans="2:2">
      <c r="B347" s="116">
        <v>170570</v>
      </c>
    </row>
    <row r="348" spans="2:2">
      <c r="B348" s="115">
        <v>170935</v>
      </c>
    </row>
    <row r="349" spans="2:2">
      <c r="B349" s="117">
        <v>171301</v>
      </c>
    </row>
    <row r="350" spans="2:2">
      <c r="B350" s="115">
        <v>171666</v>
      </c>
    </row>
    <row r="351" spans="2:2">
      <c r="B351" s="117">
        <v>172031</v>
      </c>
    </row>
    <row r="352" spans="2:2">
      <c r="B352" s="115">
        <v>172396</v>
      </c>
    </row>
    <row r="353" spans="2:2">
      <c r="B353" s="116">
        <v>172762</v>
      </c>
    </row>
    <row r="354" spans="2:2">
      <c r="B354" s="115">
        <v>173127</v>
      </c>
    </row>
    <row r="355" spans="2:2">
      <c r="B355" s="116">
        <v>173492</v>
      </c>
    </row>
    <row r="356" spans="2:2">
      <c r="B356" s="115">
        <v>173857</v>
      </c>
    </row>
    <row r="357" spans="2:2">
      <c r="B357" s="116">
        <v>174223</v>
      </c>
    </row>
    <row r="358" spans="2:2">
      <c r="B358" s="115">
        <v>174588</v>
      </c>
    </row>
    <row r="359" spans="2:2">
      <c r="B359" s="116">
        <v>174953</v>
      </c>
    </row>
    <row r="360" spans="2:2">
      <c r="B360" s="115">
        <v>175318</v>
      </c>
    </row>
    <row r="361" spans="2:2">
      <c r="B361" s="117">
        <v>175684</v>
      </c>
    </row>
    <row r="362" spans="2:2">
      <c r="B362" s="115">
        <v>176049</v>
      </c>
    </row>
    <row r="363" spans="2:2">
      <c r="B363" s="117">
        <v>176414</v>
      </c>
    </row>
    <row r="364" spans="2:2">
      <c r="B364" s="115">
        <v>176779</v>
      </c>
    </row>
    <row r="365" spans="2:2">
      <c r="B365" s="116">
        <v>177145</v>
      </c>
    </row>
    <row r="366" spans="2:2">
      <c r="B366" s="115">
        <v>177510</v>
      </c>
    </row>
    <row r="367" spans="2:2">
      <c r="B367" s="116">
        <v>177875</v>
      </c>
    </row>
    <row r="368" spans="2:2">
      <c r="B368" s="115">
        <v>178240</v>
      </c>
    </row>
    <row r="369" spans="2:2">
      <c r="B369" s="116">
        <v>178606</v>
      </c>
    </row>
    <row r="370" spans="2:2">
      <c r="B370" s="115">
        <v>178971</v>
      </c>
    </row>
    <row r="371" spans="2:2">
      <c r="B371" s="116">
        <v>179336</v>
      </c>
    </row>
    <row r="372" spans="2:2">
      <c r="B372" s="115">
        <v>179701</v>
      </c>
    </row>
    <row r="373" spans="2:2">
      <c r="B373" s="117">
        <v>180067</v>
      </c>
    </row>
    <row r="374" spans="2:2">
      <c r="B374" s="115">
        <v>180432</v>
      </c>
    </row>
    <row r="375" spans="2:2">
      <c r="B375" s="117">
        <v>180797</v>
      </c>
    </row>
    <row r="376" spans="2:2">
      <c r="B376" s="115">
        <v>181162</v>
      </c>
    </row>
    <row r="377" spans="2:2">
      <c r="B377" s="116">
        <v>181528</v>
      </c>
    </row>
    <row r="378" spans="2:2">
      <c r="B378" s="115">
        <v>181893</v>
      </c>
    </row>
    <row r="379" spans="2:2">
      <c r="B379" s="116">
        <v>182258</v>
      </c>
    </row>
    <row r="380" spans="2:2">
      <c r="B380" s="115">
        <v>182623</v>
      </c>
    </row>
    <row r="381" spans="2:2">
      <c r="B381" s="116">
        <v>182989</v>
      </c>
    </row>
    <row r="382" spans="2:2">
      <c r="B382" s="115">
        <v>183354</v>
      </c>
    </row>
    <row r="383" spans="2:2">
      <c r="B383" s="116">
        <v>183719</v>
      </c>
    </row>
    <row r="384" spans="2:2">
      <c r="B384" s="115">
        <v>184084</v>
      </c>
    </row>
    <row r="385" spans="2:2">
      <c r="B385" s="117">
        <v>184450</v>
      </c>
    </row>
    <row r="386" spans="2:2">
      <c r="B386" s="115">
        <v>184815</v>
      </c>
    </row>
    <row r="387" spans="2:2">
      <c r="B387" s="117">
        <v>185180</v>
      </c>
    </row>
    <row r="388" spans="2:2">
      <c r="B388" s="115">
        <v>185545</v>
      </c>
    </row>
    <row r="389" spans="2:2">
      <c r="B389" s="116">
        <v>185911</v>
      </c>
    </row>
    <row r="390" spans="2:2">
      <c r="B390" s="115">
        <v>186276</v>
      </c>
    </row>
    <row r="391" spans="2:2">
      <c r="B391" s="116">
        <v>186641</v>
      </c>
    </row>
    <row r="392" spans="2:2">
      <c r="B392" s="115">
        <v>187006</v>
      </c>
    </row>
    <row r="393" spans="2:2">
      <c r="B393" s="116">
        <v>187372</v>
      </c>
    </row>
    <row r="394" spans="2:2">
      <c r="B394" s="115">
        <v>187737</v>
      </c>
    </row>
    <row r="395" spans="2:2">
      <c r="B395" s="116">
        <v>188102</v>
      </c>
    </row>
    <row r="396" spans="2:2">
      <c r="B396" s="115">
        <v>188467</v>
      </c>
    </row>
    <row r="397" spans="2:2">
      <c r="B397" s="117">
        <v>188833</v>
      </c>
    </row>
    <row r="398" spans="2:2">
      <c r="B398" s="115">
        <v>189198</v>
      </c>
    </row>
    <row r="399" spans="2:2">
      <c r="B399" s="117">
        <v>189563</v>
      </c>
    </row>
    <row r="400" spans="2:2">
      <c r="B400" s="115">
        <v>189928</v>
      </c>
    </row>
    <row r="401" spans="2:2">
      <c r="B401" s="116">
        <v>190294</v>
      </c>
    </row>
    <row r="402" spans="2:2">
      <c r="B402" s="115">
        <v>190659</v>
      </c>
    </row>
    <row r="403" spans="2:2">
      <c r="B403" s="116">
        <v>191024</v>
      </c>
    </row>
    <row r="404" spans="2:2">
      <c r="B404" s="115">
        <v>191389</v>
      </c>
    </row>
    <row r="405" spans="2:2">
      <c r="B405" s="116">
        <v>191755</v>
      </c>
    </row>
    <row r="406" spans="2:2">
      <c r="B406" s="115">
        <v>192120</v>
      </c>
    </row>
    <row r="407" spans="2:2">
      <c r="B407" s="116">
        <v>192485</v>
      </c>
    </row>
    <row r="408" spans="2:2">
      <c r="B408" s="115">
        <v>192850</v>
      </c>
    </row>
    <row r="409" spans="2:2">
      <c r="B409" s="117">
        <v>193216</v>
      </c>
    </row>
    <row r="410" spans="2:2">
      <c r="B410" s="115">
        <v>193581</v>
      </c>
    </row>
    <row r="411" spans="2:2">
      <c r="B411" s="117">
        <v>193946</v>
      </c>
    </row>
    <row r="412" spans="2:2">
      <c r="B412" s="115">
        <v>194311</v>
      </c>
    </row>
    <row r="413" spans="2:2">
      <c r="B413" s="116">
        <v>194677</v>
      </c>
    </row>
    <row r="414" spans="2:2">
      <c r="B414" s="115">
        <v>195042</v>
      </c>
    </row>
    <row r="415" spans="2:2">
      <c r="B415" s="116">
        <v>195407</v>
      </c>
    </row>
    <row r="416" spans="2:2">
      <c r="B416" s="115">
        <v>195772</v>
      </c>
    </row>
    <row r="417" spans="2:2">
      <c r="B417" s="116">
        <v>196138</v>
      </c>
    </row>
    <row r="418" spans="2:2">
      <c r="B418" s="115">
        <v>196503</v>
      </c>
    </row>
    <row r="419" spans="2:2">
      <c r="B419" s="116">
        <v>196868</v>
      </c>
    </row>
    <row r="420" spans="2:2">
      <c r="B420" s="115">
        <v>197233</v>
      </c>
    </row>
    <row r="421" spans="2:2">
      <c r="B421" s="117">
        <v>197599</v>
      </c>
    </row>
    <row r="422" spans="2:2">
      <c r="B422" s="115">
        <v>197964</v>
      </c>
    </row>
    <row r="423" spans="2:2">
      <c r="B423" s="117">
        <v>198329</v>
      </c>
    </row>
    <row r="424" spans="2:2">
      <c r="B424" s="115">
        <v>198694</v>
      </c>
    </row>
    <row r="425" spans="2:2">
      <c r="B425" s="116">
        <v>199060</v>
      </c>
    </row>
    <row r="426" spans="2:2">
      <c r="B426" s="115">
        <v>199425</v>
      </c>
    </row>
    <row r="427" spans="2:2">
      <c r="B427" s="116">
        <v>199790</v>
      </c>
    </row>
    <row r="428" spans="2:2">
      <c r="B428" s="115">
        <v>200155</v>
      </c>
    </row>
    <row r="429" spans="2:2">
      <c r="B429" s="116">
        <v>200521</v>
      </c>
    </row>
    <row r="430" spans="2:2">
      <c r="B430" s="115">
        <v>200886</v>
      </c>
    </row>
    <row r="431" spans="2:2">
      <c r="B431" s="116">
        <v>201251</v>
      </c>
    </row>
    <row r="432" spans="2:2">
      <c r="B432" s="115">
        <v>201616</v>
      </c>
    </row>
    <row r="433" spans="2:2">
      <c r="B433" s="117">
        <v>201982</v>
      </c>
    </row>
    <row r="434" spans="2:2">
      <c r="B434" s="115">
        <v>202347</v>
      </c>
    </row>
    <row r="435" spans="2:2">
      <c r="B435" s="117">
        <v>202712</v>
      </c>
    </row>
    <row r="436" spans="2:2">
      <c r="B436" s="115">
        <v>203077</v>
      </c>
    </row>
    <row r="437" spans="2:2">
      <c r="B437" s="116">
        <v>203443</v>
      </c>
    </row>
    <row r="438" spans="2:2">
      <c r="B438" s="115">
        <v>203808</v>
      </c>
    </row>
    <row r="439" spans="2:2">
      <c r="B439" s="116">
        <v>204173</v>
      </c>
    </row>
    <row r="440" spans="2:2">
      <c r="B440" s="115">
        <v>204538</v>
      </c>
    </row>
    <row r="441" spans="2:2">
      <c r="B441" s="116">
        <v>204904</v>
      </c>
    </row>
    <row r="442" spans="2:2">
      <c r="B442" s="115">
        <v>205269</v>
      </c>
    </row>
    <row r="443" spans="2:2">
      <c r="B443" s="116">
        <v>205634</v>
      </c>
    </row>
    <row r="444" spans="2:2">
      <c r="B444" s="115">
        <v>205999</v>
      </c>
    </row>
    <row r="445" spans="2:2">
      <c r="B445" s="117">
        <v>206365</v>
      </c>
    </row>
    <row r="446" spans="2:2">
      <c r="B446" s="115">
        <v>206730</v>
      </c>
    </row>
    <row r="447" spans="2:2">
      <c r="B447" s="117">
        <v>207095</v>
      </c>
    </row>
    <row r="448" spans="2:2">
      <c r="B448" s="115">
        <v>207460</v>
      </c>
    </row>
    <row r="449" spans="2:2">
      <c r="B449" s="116">
        <v>207826</v>
      </c>
    </row>
    <row r="450" spans="2:2">
      <c r="B450" s="115">
        <v>208191</v>
      </c>
    </row>
    <row r="451" spans="2:2">
      <c r="B451" s="116">
        <v>208556</v>
      </c>
    </row>
    <row r="452" spans="2:2">
      <c r="B452" s="115">
        <v>208921</v>
      </c>
    </row>
    <row r="453" spans="2:2">
      <c r="B453" s="116">
        <v>209287</v>
      </c>
    </row>
    <row r="454" spans="2:2">
      <c r="B454" s="115">
        <v>209652</v>
      </c>
    </row>
    <row r="455" spans="2:2">
      <c r="B455" s="116">
        <v>210017</v>
      </c>
    </row>
    <row r="456" spans="2:2">
      <c r="B456" s="115">
        <v>210382</v>
      </c>
    </row>
    <row r="457" spans="2:2">
      <c r="B457" s="117">
        <v>210748</v>
      </c>
    </row>
    <row r="458" spans="2:2">
      <c r="B458" s="115">
        <v>211113</v>
      </c>
    </row>
    <row r="459" spans="2:2">
      <c r="B459" s="117">
        <v>211478</v>
      </c>
    </row>
    <row r="460" spans="2:2">
      <c r="B460" s="115">
        <v>211843</v>
      </c>
    </row>
    <row r="461" spans="2:2">
      <c r="B461" s="116">
        <v>212209</v>
      </c>
    </row>
    <row r="462" spans="2:2">
      <c r="B462" s="115">
        <v>212574</v>
      </c>
    </row>
    <row r="463" spans="2:2">
      <c r="B463" s="116">
        <v>212939</v>
      </c>
    </row>
    <row r="464" spans="2:2">
      <c r="B464" s="115">
        <v>213304</v>
      </c>
    </row>
    <row r="465" spans="2:2">
      <c r="B465" s="116">
        <v>213670</v>
      </c>
    </row>
    <row r="466" spans="2:2">
      <c r="B466" s="115">
        <v>214035</v>
      </c>
    </row>
    <row r="467" spans="2:2">
      <c r="B467" s="116">
        <v>214400</v>
      </c>
    </row>
    <row r="468" spans="2:2">
      <c r="B468" s="115">
        <v>214765</v>
      </c>
    </row>
    <row r="469" spans="2:2">
      <c r="B469" s="117">
        <v>215131</v>
      </c>
    </row>
    <row r="470" spans="2:2">
      <c r="B470" s="115">
        <v>215496</v>
      </c>
    </row>
    <row r="471" spans="2:2">
      <c r="B471" s="117">
        <v>215861</v>
      </c>
    </row>
    <row r="472" spans="2:2">
      <c r="B472" s="115">
        <v>216226</v>
      </c>
    </row>
    <row r="473" spans="2:2">
      <c r="B473" s="116">
        <v>216592</v>
      </c>
    </row>
    <row r="474" spans="2:2">
      <c r="B474" s="115">
        <v>216957</v>
      </c>
    </row>
    <row r="475" spans="2:2">
      <c r="B475" s="116">
        <v>217322</v>
      </c>
    </row>
    <row r="476" spans="2:2">
      <c r="B476" s="115">
        <v>217687</v>
      </c>
    </row>
    <row r="477" spans="2:2">
      <c r="B477" s="116">
        <v>218053</v>
      </c>
    </row>
    <row r="478" spans="2:2">
      <c r="B478" s="115">
        <v>218418</v>
      </c>
    </row>
    <row r="479" spans="2:2">
      <c r="B479" s="116">
        <v>218783</v>
      </c>
    </row>
    <row r="480" spans="2:2">
      <c r="B480" s="115">
        <v>219148</v>
      </c>
    </row>
    <row r="481" spans="2:2">
      <c r="B481" s="117">
        <v>219513</v>
      </c>
    </row>
    <row r="482" spans="2:2">
      <c r="B482" s="115">
        <v>219878</v>
      </c>
    </row>
    <row r="483" spans="2:2">
      <c r="B483" s="117">
        <v>220243</v>
      </c>
    </row>
    <row r="484" spans="2:2">
      <c r="B484" s="115">
        <v>220608</v>
      </c>
    </row>
    <row r="485" spans="2:2">
      <c r="B485" s="116">
        <v>220974</v>
      </c>
    </row>
    <row r="486" spans="2:2">
      <c r="B486" s="115">
        <v>221339</v>
      </c>
    </row>
    <row r="487" spans="2:2">
      <c r="B487" s="116">
        <v>221704</v>
      </c>
    </row>
    <row r="488" spans="2:2">
      <c r="B488" s="115">
        <v>222069</v>
      </c>
    </row>
    <row r="489" spans="2:2">
      <c r="B489" s="116">
        <v>222435</v>
      </c>
    </row>
    <row r="490" spans="2:2">
      <c r="B490" s="115">
        <v>222800</v>
      </c>
    </row>
    <row r="491" spans="2:2">
      <c r="B491" s="116">
        <v>223165</v>
      </c>
    </row>
    <row r="492" spans="2:2">
      <c r="B492" s="115">
        <v>223530</v>
      </c>
    </row>
    <row r="493" spans="2:2">
      <c r="B493" s="117">
        <v>223896</v>
      </c>
    </row>
    <row r="494" spans="2:2">
      <c r="B494" s="115">
        <v>224261</v>
      </c>
    </row>
    <row r="495" spans="2:2">
      <c r="B495" s="117">
        <v>224626</v>
      </c>
    </row>
    <row r="496" spans="2:2">
      <c r="B496" s="115">
        <v>224991</v>
      </c>
    </row>
    <row r="497" spans="2:2">
      <c r="B497" s="116">
        <v>225357</v>
      </c>
    </row>
    <row r="498" spans="2:2">
      <c r="B498" s="115">
        <v>225722</v>
      </c>
    </row>
    <row r="499" spans="2:2">
      <c r="B499" s="116">
        <v>226087</v>
      </c>
    </row>
    <row r="500" spans="2:2">
      <c r="B500" s="115">
        <v>226452</v>
      </c>
    </row>
    <row r="501" spans="2:2">
      <c r="B501" s="116">
        <v>226818</v>
      </c>
    </row>
    <row r="502" spans="2:2">
      <c r="B502" s="115">
        <v>227183</v>
      </c>
    </row>
    <row r="503" spans="2:2">
      <c r="B503" s="116">
        <v>227548</v>
      </c>
    </row>
    <row r="504" spans="2:2">
      <c r="B504" s="115">
        <v>227913</v>
      </c>
    </row>
    <row r="505" spans="2:2">
      <c r="B505" s="117">
        <v>228279</v>
      </c>
    </row>
    <row r="506" spans="2:2">
      <c r="B506" s="115">
        <v>228644</v>
      </c>
    </row>
    <row r="507" spans="2:2">
      <c r="B507" s="117">
        <v>229009</v>
      </c>
    </row>
    <row r="508" spans="2:2">
      <c r="B508" s="115">
        <v>229374</v>
      </c>
    </row>
    <row r="509" spans="2:2">
      <c r="B509" s="116">
        <v>229740</v>
      </c>
    </row>
    <row r="510" spans="2:2">
      <c r="B510" s="115">
        <v>230105</v>
      </c>
    </row>
    <row r="511" spans="2:2">
      <c r="B511" s="116">
        <v>230470</v>
      </c>
    </row>
    <row r="512" spans="2:2">
      <c r="B512" s="115">
        <v>230835</v>
      </c>
    </row>
    <row r="513" spans="2:2">
      <c r="B513" s="116">
        <v>231201</v>
      </c>
    </row>
    <row r="514" spans="2:2">
      <c r="B514" s="115">
        <v>231566</v>
      </c>
    </row>
    <row r="515" spans="2:2">
      <c r="B515" s="116">
        <v>231931</v>
      </c>
    </row>
    <row r="516" spans="2:2">
      <c r="B516" s="115">
        <v>232296</v>
      </c>
    </row>
    <row r="517" spans="2:2">
      <c r="B517" s="117">
        <v>232662</v>
      </c>
    </row>
    <row r="518" spans="2:2">
      <c r="B518" s="115">
        <v>233027</v>
      </c>
    </row>
    <row r="519" spans="2:2">
      <c r="B519" s="117">
        <v>233392</v>
      </c>
    </row>
    <row r="520" spans="2:2">
      <c r="B520" s="115">
        <v>233757</v>
      </c>
    </row>
    <row r="521" spans="2:2">
      <c r="B521" s="116">
        <v>234123</v>
      </c>
    </row>
    <row r="522" spans="2:2">
      <c r="B522" s="115">
        <v>234488</v>
      </c>
    </row>
    <row r="523" spans="2:2">
      <c r="B523" s="116">
        <v>234853</v>
      </c>
    </row>
    <row r="524" spans="2:2">
      <c r="B524" s="115">
        <v>235218</v>
      </c>
    </row>
    <row r="525" spans="2:2">
      <c r="B525" s="116">
        <v>235584</v>
      </c>
    </row>
    <row r="526" spans="2:2">
      <c r="B526" s="115">
        <v>235949</v>
      </c>
    </row>
    <row r="527" spans="2:2">
      <c r="B527" s="116">
        <v>236314</v>
      </c>
    </row>
    <row r="528" spans="2:2">
      <c r="B528" s="115">
        <v>236679</v>
      </c>
    </row>
    <row r="529" spans="2:2">
      <c r="B529" s="117">
        <v>237045</v>
      </c>
    </row>
    <row r="530" spans="2:2">
      <c r="B530" s="115">
        <v>237410</v>
      </c>
    </row>
    <row r="531" spans="2:2">
      <c r="B531" s="117">
        <v>237775</v>
      </c>
    </row>
    <row r="532" spans="2:2">
      <c r="B532" s="115">
        <v>238140</v>
      </c>
    </row>
    <row r="533" spans="2:2">
      <c r="B533" s="116">
        <v>238506</v>
      </c>
    </row>
    <row r="534" spans="2:2">
      <c r="B534" s="115">
        <v>238871</v>
      </c>
    </row>
    <row r="535" spans="2:2">
      <c r="B535" s="116">
        <v>239236</v>
      </c>
    </row>
    <row r="536" spans="2:2">
      <c r="B536" s="115">
        <v>239601</v>
      </c>
    </row>
    <row r="537" spans="2:2">
      <c r="B537" s="116">
        <v>239967</v>
      </c>
    </row>
    <row r="538" spans="2:2">
      <c r="B538" s="115">
        <v>240332</v>
      </c>
    </row>
    <row r="539" spans="2:2">
      <c r="B539" s="116">
        <v>240697</v>
      </c>
    </row>
    <row r="540" spans="2:2">
      <c r="B540" s="115">
        <v>241062</v>
      </c>
    </row>
    <row r="541" spans="2:2">
      <c r="B541" s="117">
        <v>241428</v>
      </c>
    </row>
    <row r="542" spans="2:2">
      <c r="B542" s="115">
        <v>241793</v>
      </c>
    </row>
    <row r="543" spans="2:2">
      <c r="B543" s="117">
        <v>242158</v>
      </c>
    </row>
    <row r="544" spans="2:2">
      <c r="B544" s="115">
        <v>242523</v>
      </c>
    </row>
    <row r="545" spans="2:2">
      <c r="B545" s="116">
        <v>242889</v>
      </c>
    </row>
    <row r="546" spans="2:2">
      <c r="B546" s="115">
        <v>243254</v>
      </c>
    </row>
    <row r="547" spans="2:2">
      <c r="B547" s="116">
        <v>243619</v>
      </c>
    </row>
    <row r="548" spans="2:2">
      <c r="B548" s="115">
        <v>243984</v>
      </c>
    </row>
    <row r="549" spans="2:2">
      <c r="B549" s="116">
        <v>244350</v>
      </c>
    </row>
    <row r="550" spans="2:2">
      <c r="B550" s="115">
        <v>244715</v>
      </c>
    </row>
    <row r="551" spans="2:2">
      <c r="B551" s="116">
        <v>245080</v>
      </c>
    </row>
    <row r="552" spans="2:2">
      <c r="B552" s="115">
        <v>245445</v>
      </c>
    </row>
    <row r="553" spans="2:2">
      <c r="B553" s="117">
        <v>245811</v>
      </c>
    </row>
    <row r="554" spans="2:2">
      <c r="B554" s="115">
        <v>246176</v>
      </c>
    </row>
    <row r="555" spans="2:2">
      <c r="B555" s="117">
        <v>246541</v>
      </c>
    </row>
    <row r="556" spans="2:2">
      <c r="B556" s="115">
        <v>246906</v>
      </c>
    </row>
    <row r="557" spans="2:2">
      <c r="B557" s="116">
        <v>247272</v>
      </c>
    </row>
    <row r="558" spans="2:2">
      <c r="B558" s="115">
        <v>247637</v>
      </c>
    </row>
    <row r="559" spans="2:2">
      <c r="B559" s="116">
        <v>248002</v>
      </c>
    </row>
    <row r="560" spans="2:2">
      <c r="B560" s="115">
        <v>248367</v>
      </c>
    </row>
    <row r="561" spans="2:2">
      <c r="B561" s="116">
        <v>248733</v>
      </c>
    </row>
    <row r="562" spans="2:2">
      <c r="B562" s="115">
        <v>249098</v>
      </c>
    </row>
    <row r="563" spans="2:2">
      <c r="B563" s="116">
        <v>249463</v>
      </c>
    </row>
    <row r="564" spans="2:2">
      <c r="B564" s="115">
        <v>249828</v>
      </c>
    </row>
    <row r="565" spans="2:2">
      <c r="B565" s="117">
        <v>250194</v>
      </c>
    </row>
    <row r="566" spans="2:2">
      <c r="B566" s="115">
        <v>250559</v>
      </c>
    </row>
    <row r="567" spans="2:2">
      <c r="B567" s="117">
        <v>250924</v>
      </c>
    </row>
    <row r="568" spans="2:2">
      <c r="B568" s="115">
        <v>251289</v>
      </c>
    </row>
    <row r="569" spans="2:2">
      <c r="B569" s="116">
        <v>251655</v>
      </c>
    </row>
    <row r="570" spans="2:2">
      <c r="B570" s="115">
        <v>252020</v>
      </c>
    </row>
    <row r="571" spans="2:2">
      <c r="B571" s="116">
        <v>252385</v>
      </c>
    </row>
    <row r="572" spans="2:2">
      <c r="B572" s="115">
        <v>252750</v>
      </c>
    </row>
    <row r="573" spans="2:2">
      <c r="B573" s="116">
        <v>253116</v>
      </c>
    </row>
    <row r="574" spans="2:2">
      <c r="B574" s="115">
        <v>253481</v>
      </c>
    </row>
    <row r="575" spans="2:2">
      <c r="B575" s="116">
        <v>253846</v>
      </c>
    </row>
    <row r="576" spans="2:2">
      <c r="B576" s="115">
        <v>254211</v>
      </c>
    </row>
    <row r="577" spans="2:2">
      <c r="B577" s="117">
        <v>254577</v>
      </c>
    </row>
    <row r="578" spans="2:2">
      <c r="B578" s="115">
        <v>254942</v>
      </c>
    </row>
    <row r="579" spans="2:2">
      <c r="B579" s="117">
        <v>255307</v>
      </c>
    </row>
    <row r="580" spans="2:2">
      <c r="B580" s="115">
        <v>255672</v>
      </c>
    </row>
    <row r="581" spans="2:2">
      <c r="B581" s="116">
        <v>256037</v>
      </c>
    </row>
    <row r="582" spans="2:2">
      <c r="B582" s="115">
        <v>256402</v>
      </c>
    </row>
    <row r="583" spans="2:2">
      <c r="B583" s="116">
        <v>256767</v>
      </c>
    </row>
    <row r="584" spans="2:2">
      <c r="B584" s="115">
        <v>257132</v>
      </c>
    </row>
    <row r="585" spans="2:2">
      <c r="B585" s="116">
        <v>257498</v>
      </c>
    </row>
    <row r="586" spans="2:2">
      <c r="B586" s="115">
        <v>257863</v>
      </c>
    </row>
    <row r="587" spans="2:2">
      <c r="B587" s="116">
        <v>258228</v>
      </c>
    </row>
    <row r="588" spans="2:2">
      <c r="B588" s="115">
        <v>258593</v>
      </c>
    </row>
    <row r="589" spans="2:2">
      <c r="B589" s="117">
        <v>258959</v>
      </c>
    </row>
    <row r="590" spans="2:2">
      <c r="B590" s="115">
        <v>259324</v>
      </c>
    </row>
    <row r="591" spans="2:2">
      <c r="B591" s="117">
        <v>259689</v>
      </c>
    </row>
    <row r="592" spans="2:2">
      <c r="B592" s="115">
        <v>260054</v>
      </c>
    </row>
    <row r="593" spans="2:2">
      <c r="B593" s="116">
        <v>260420</v>
      </c>
    </row>
    <row r="594" spans="2:2">
      <c r="B594" s="115">
        <v>260785</v>
      </c>
    </row>
    <row r="595" spans="2:2">
      <c r="B595" s="116">
        <v>261150</v>
      </c>
    </row>
    <row r="596" spans="2:2">
      <c r="B596" s="115">
        <v>261515</v>
      </c>
    </row>
    <row r="597" spans="2:2">
      <c r="B597" s="116">
        <v>261881</v>
      </c>
    </row>
    <row r="598" spans="2:2">
      <c r="B598" s="115">
        <v>262246</v>
      </c>
    </row>
    <row r="599" spans="2:2">
      <c r="B599" s="116">
        <v>262611</v>
      </c>
    </row>
    <row r="600" spans="2:2">
      <c r="B600" s="115">
        <v>262976</v>
      </c>
    </row>
    <row r="601" spans="2:2">
      <c r="B601" s="117">
        <v>263342</v>
      </c>
    </row>
    <row r="602" spans="2:2">
      <c r="B602" s="115">
        <v>263707</v>
      </c>
    </row>
    <row r="603" spans="2:2">
      <c r="B603" s="117">
        <v>264072</v>
      </c>
    </row>
    <row r="604" spans="2:2">
      <c r="B604" s="115">
        <v>264437</v>
      </c>
    </row>
    <row r="605" spans="2:2">
      <c r="B605" s="116">
        <v>264803</v>
      </c>
    </row>
    <row r="606" spans="2:2">
      <c r="B606" s="115">
        <v>265168</v>
      </c>
    </row>
    <row r="607" spans="2:2">
      <c r="B607" s="116">
        <v>265533</v>
      </c>
    </row>
    <row r="608" spans="2:2">
      <c r="B608" s="115">
        <v>265898</v>
      </c>
    </row>
    <row r="609" spans="2:2">
      <c r="B609" s="116">
        <v>266264</v>
      </c>
    </row>
    <row r="610" spans="2:2">
      <c r="B610" s="115">
        <v>266629</v>
      </c>
    </row>
    <row r="611" spans="2:2">
      <c r="B611" s="116">
        <v>266994</v>
      </c>
    </row>
    <row r="612" spans="2:2">
      <c r="B612" s="115">
        <v>267359</v>
      </c>
    </row>
    <row r="613" spans="2:2">
      <c r="B613" s="117">
        <v>267725</v>
      </c>
    </row>
    <row r="614" spans="2:2">
      <c r="B614" s="115">
        <v>268090</v>
      </c>
    </row>
    <row r="615" spans="2:2">
      <c r="B615" s="117">
        <v>268455</v>
      </c>
    </row>
    <row r="616" spans="2:2">
      <c r="B616" s="115">
        <v>268820</v>
      </c>
    </row>
    <row r="617" spans="2:2">
      <c r="B617" s="116">
        <v>269186</v>
      </c>
    </row>
    <row r="618" spans="2:2">
      <c r="B618" s="115">
        <v>269551</v>
      </c>
    </row>
    <row r="619" spans="2:2">
      <c r="B619" s="116">
        <v>269916</v>
      </c>
    </row>
    <row r="620" spans="2:2">
      <c r="B620" s="115">
        <v>270281</v>
      </c>
    </row>
    <row r="621" spans="2:2">
      <c r="B621" s="116">
        <v>270647</v>
      </c>
    </row>
    <row r="622" spans="2:2">
      <c r="B622" s="115">
        <v>271012</v>
      </c>
    </row>
    <row r="623" spans="2:2">
      <c r="B623" s="116">
        <v>271377</v>
      </c>
    </row>
    <row r="624" spans="2:2">
      <c r="B624" s="115">
        <v>271742</v>
      </c>
    </row>
    <row r="625" spans="2:2">
      <c r="B625" s="117">
        <v>272108</v>
      </c>
    </row>
    <row r="626" spans="2:2">
      <c r="B626" s="115">
        <v>272473</v>
      </c>
    </row>
    <row r="627" spans="2:2">
      <c r="B627" s="117">
        <v>272838</v>
      </c>
    </row>
    <row r="628" spans="2:2">
      <c r="B628" s="115">
        <v>273203</v>
      </c>
    </row>
    <row r="629" spans="2:2">
      <c r="B629" s="116">
        <v>273569</v>
      </c>
    </row>
    <row r="630" spans="2:2">
      <c r="B630" s="115">
        <v>273934</v>
      </c>
    </row>
    <row r="631" spans="2:2">
      <c r="B631" s="116">
        <v>274299</v>
      </c>
    </row>
    <row r="632" spans="2:2">
      <c r="B632" s="115">
        <v>274664</v>
      </c>
    </row>
    <row r="633" spans="2:2">
      <c r="B633" s="116">
        <v>275030</v>
      </c>
    </row>
    <row r="634" spans="2:2">
      <c r="B634" s="115">
        <v>275395</v>
      </c>
    </row>
    <row r="635" spans="2:2">
      <c r="B635" s="116">
        <v>275760</v>
      </c>
    </row>
    <row r="636" spans="2:2">
      <c r="B636" s="115">
        <v>276125</v>
      </c>
    </row>
    <row r="637" spans="2:2">
      <c r="B637" s="117">
        <v>276491</v>
      </c>
    </row>
    <row r="638" spans="2:2">
      <c r="B638" s="115">
        <v>276856</v>
      </c>
    </row>
    <row r="639" spans="2:2">
      <c r="B639" s="117">
        <v>277221</v>
      </c>
    </row>
    <row r="640" spans="2:2">
      <c r="B640" s="115">
        <v>277586</v>
      </c>
    </row>
    <row r="641" spans="2:2">
      <c r="B641" s="116">
        <v>277952</v>
      </c>
    </row>
    <row r="642" spans="2:2">
      <c r="B642" s="115">
        <v>278317</v>
      </c>
    </row>
    <row r="643" spans="2:2">
      <c r="B643" s="116">
        <v>278682</v>
      </c>
    </row>
    <row r="644" spans="2:2">
      <c r="B644" s="115">
        <v>279047</v>
      </c>
    </row>
    <row r="645" spans="2:2">
      <c r="B645" s="116">
        <v>279413</v>
      </c>
    </row>
    <row r="646" spans="2:2">
      <c r="B646" s="115">
        <v>279778</v>
      </c>
    </row>
    <row r="647" spans="2:2">
      <c r="B647" s="116">
        <v>280143</v>
      </c>
    </row>
    <row r="648" spans="2:2">
      <c r="B648" s="115">
        <v>280508</v>
      </c>
    </row>
    <row r="649" spans="2:2">
      <c r="B649" s="117">
        <v>280874</v>
      </c>
    </row>
    <row r="650" spans="2:2">
      <c r="B650" s="115">
        <v>281239</v>
      </c>
    </row>
    <row r="651" spans="2:2">
      <c r="B651" s="117">
        <v>281604</v>
      </c>
    </row>
    <row r="652" spans="2:2">
      <c r="B652" s="115">
        <v>281969</v>
      </c>
    </row>
    <row r="653" spans="2:2">
      <c r="B653" s="116">
        <v>282335</v>
      </c>
    </row>
    <row r="654" spans="2:2">
      <c r="B654" s="115">
        <v>282700</v>
      </c>
    </row>
    <row r="655" spans="2:2">
      <c r="B655" s="116">
        <v>283065</v>
      </c>
    </row>
    <row r="656" spans="2:2">
      <c r="B656" s="115">
        <v>283430</v>
      </c>
    </row>
    <row r="657" spans="2:2">
      <c r="B657" s="116">
        <v>283796</v>
      </c>
    </row>
    <row r="658" spans="2:2">
      <c r="B658" s="115">
        <v>284161</v>
      </c>
    </row>
    <row r="659" spans="2:2">
      <c r="B659" s="116">
        <v>284526</v>
      </c>
    </row>
    <row r="660" spans="2:2">
      <c r="B660" s="115">
        <v>284891</v>
      </c>
    </row>
    <row r="661" spans="2:2">
      <c r="B661" s="117">
        <v>285257</v>
      </c>
    </row>
    <row r="662" spans="2:2">
      <c r="B662" s="115">
        <v>285622</v>
      </c>
    </row>
    <row r="663" spans="2:2">
      <c r="B663" s="117">
        <v>285987</v>
      </c>
    </row>
    <row r="664" spans="2:2">
      <c r="B664" s="115">
        <v>286352</v>
      </c>
    </row>
    <row r="665" spans="2:2">
      <c r="B665" s="116">
        <v>286718</v>
      </c>
    </row>
    <row r="666" spans="2:2">
      <c r="B666" s="115">
        <v>287083</v>
      </c>
    </row>
    <row r="667" spans="2:2">
      <c r="B667" s="116">
        <v>287448</v>
      </c>
    </row>
    <row r="668" spans="2:2">
      <c r="B668" s="115">
        <v>287813</v>
      </c>
    </row>
    <row r="669" spans="2:2">
      <c r="B669" s="116">
        <v>288179</v>
      </c>
    </row>
    <row r="670" spans="2:2">
      <c r="B670" s="115">
        <v>288544</v>
      </c>
    </row>
    <row r="671" spans="2:2">
      <c r="B671" s="116">
        <v>288909</v>
      </c>
    </row>
    <row r="672" spans="2:2">
      <c r="B672" s="115">
        <v>289274</v>
      </c>
    </row>
    <row r="673" spans="2:2">
      <c r="B673" s="117">
        <v>289640</v>
      </c>
    </row>
    <row r="674" spans="2:2">
      <c r="B674" s="115">
        <v>290005</v>
      </c>
    </row>
    <row r="675" spans="2:2">
      <c r="B675" s="117">
        <v>290370</v>
      </c>
    </row>
    <row r="676" spans="2:2">
      <c r="B676" s="115">
        <v>290735</v>
      </c>
    </row>
    <row r="677" spans="2:2">
      <c r="B677" s="116">
        <v>291101</v>
      </c>
    </row>
    <row r="678" spans="2:2">
      <c r="B678" s="115">
        <v>291466</v>
      </c>
    </row>
    <row r="679" spans="2:2">
      <c r="B679" s="116">
        <v>291831</v>
      </c>
    </row>
    <row r="680" spans="2:2">
      <c r="B680" s="115">
        <v>292196</v>
      </c>
    </row>
    <row r="681" spans="2:2">
      <c r="B681" s="116">
        <v>292561</v>
      </c>
    </row>
    <row r="682" spans="2:2">
      <c r="B682" s="115">
        <v>292926</v>
      </c>
    </row>
    <row r="683" spans="2:2">
      <c r="B683" s="116">
        <v>293291</v>
      </c>
    </row>
    <row r="684" spans="2:2">
      <c r="B684" s="115">
        <v>293656</v>
      </c>
    </row>
    <row r="685" spans="2:2">
      <c r="B685" s="117">
        <v>294022</v>
      </c>
    </row>
    <row r="686" spans="2:2">
      <c r="B686" s="115">
        <v>294387</v>
      </c>
    </row>
    <row r="687" spans="2:2">
      <c r="B687" s="117">
        <v>294752</v>
      </c>
    </row>
    <row r="688" spans="2:2">
      <c r="B688" s="115">
        <v>295117</v>
      </c>
    </row>
    <row r="689" spans="2:2">
      <c r="B689" s="116">
        <v>295483</v>
      </c>
    </row>
    <row r="690" spans="2:2">
      <c r="B690" s="115">
        <v>295848</v>
      </c>
    </row>
    <row r="691" spans="2:2">
      <c r="B691" s="116">
        <v>296213</v>
      </c>
    </row>
    <row r="692" spans="2:2">
      <c r="B692" s="115">
        <v>296578</v>
      </c>
    </row>
    <row r="693" spans="2:2">
      <c r="B693" s="116">
        <v>296944</v>
      </c>
    </row>
    <row r="694" spans="2:2">
      <c r="B694" s="115">
        <v>297309</v>
      </c>
    </row>
    <row r="695" spans="2:2">
      <c r="B695" s="116">
        <v>297674</v>
      </c>
    </row>
    <row r="696" spans="2:2">
      <c r="B696" s="115">
        <v>298039</v>
      </c>
    </row>
    <row r="697" spans="2:2">
      <c r="B697" s="117">
        <v>298405</v>
      </c>
    </row>
    <row r="698" spans="2:2">
      <c r="B698" s="115">
        <v>298770</v>
      </c>
    </row>
    <row r="699" spans="2:2">
      <c r="B699" s="117">
        <v>299135</v>
      </c>
    </row>
    <row r="700" spans="2:2">
      <c r="B700" s="115">
        <v>299500</v>
      </c>
    </row>
    <row r="701" spans="2:2">
      <c r="B701" s="116">
        <v>299866</v>
      </c>
    </row>
    <row r="702" spans="2:2">
      <c r="B702" s="115">
        <v>300231</v>
      </c>
    </row>
    <row r="703" spans="2:2">
      <c r="B703" s="116">
        <v>300596</v>
      </c>
    </row>
    <row r="704" spans="2:2">
      <c r="B704" s="115">
        <v>300961</v>
      </c>
    </row>
    <row r="705" spans="2:2">
      <c r="B705" s="116">
        <v>301327</v>
      </c>
    </row>
    <row r="706" spans="2:2">
      <c r="B706" s="115">
        <v>301692</v>
      </c>
    </row>
    <row r="707" spans="2:2">
      <c r="B707" s="116">
        <v>302057</v>
      </c>
    </row>
    <row r="708" spans="2:2">
      <c r="B708" s="115">
        <v>302422</v>
      </c>
    </row>
    <row r="709" spans="2:2">
      <c r="B709" s="117">
        <v>302788</v>
      </c>
    </row>
    <row r="710" spans="2:2">
      <c r="B710" s="115">
        <v>303153</v>
      </c>
    </row>
    <row r="711" spans="2:2">
      <c r="B711" s="117">
        <v>303518</v>
      </c>
    </row>
    <row r="712" spans="2:2">
      <c r="B712" s="115">
        <v>303883</v>
      </c>
    </row>
    <row r="713" spans="2:2">
      <c r="B713" s="116">
        <v>304249</v>
      </c>
    </row>
    <row r="714" spans="2:2">
      <c r="B714" s="115">
        <v>304614</v>
      </c>
    </row>
    <row r="715" spans="2:2">
      <c r="B715" s="116">
        <v>304979</v>
      </c>
    </row>
    <row r="716" spans="2:2">
      <c r="B716" s="115">
        <v>305344</v>
      </c>
    </row>
    <row r="717" spans="2:2">
      <c r="B717" s="116">
        <v>305710</v>
      </c>
    </row>
    <row r="718" spans="2:2">
      <c r="B718" s="115">
        <v>306075</v>
      </c>
    </row>
    <row r="719" spans="2:2">
      <c r="B719" s="116">
        <v>306440</v>
      </c>
    </row>
    <row r="720" spans="2:2">
      <c r="B720" s="115">
        <v>306805</v>
      </c>
    </row>
    <row r="721" spans="2:2">
      <c r="B721" s="117">
        <v>307171</v>
      </c>
    </row>
    <row r="722" spans="2:2">
      <c r="B722" s="115">
        <v>307536</v>
      </c>
    </row>
    <row r="723" spans="2:2">
      <c r="B723" s="117">
        <v>307901</v>
      </c>
    </row>
    <row r="724" spans="2:2">
      <c r="B724" s="115">
        <v>308266</v>
      </c>
    </row>
    <row r="725" spans="2:2">
      <c r="B725" s="116">
        <v>308632</v>
      </c>
    </row>
    <row r="726" spans="2:2">
      <c r="B726" s="115">
        <v>308997</v>
      </c>
    </row>
    <row r="727" spans="2:2">
      <c r="B727" s="116">
        <v>309362</v>
      </c>
    </row>
    <row r="728" spans="2:2">
      <c r="B728" s="115">
        <v>309727</v>
      </c>
    </row>
    <row r="729" spans="2:2">
      <c r="B729" s="116">
        <v>310093</v>
      </c>
    </row>
    <row r="730" spans="2:2">
      <c r="B730" s="115">
        <v>310458</v>
      </c>
    </row>
    <row r="731" spans="2:2">
      <c r="B731" s="116">
        <v>310823</v>
      </c>
    </row>
    <row r="732" spans="2:2">
      <c r="B732" s="115">
        <v>311188</v>
      </c>
    </row>
    <row r="733" spans="2:2">
      <c r="B733" s="117">
        <v>311554</v>
      </c>
    </row>
    <row r="734" spans="2:2">
      <c r="B734" s="115">
        <v>311919</v>
      </c>
    </row>
    <row r="735" spans="2:2">
      <c r="B735" s="117">
        <v>312284</v>
      </c>
    </row>
    <row r="736" spans="2:2">
      <c r="B736" s="115">
        <v>312649</v>
      </c>
    </row>
    <row r="737" spans="2:2">
      <c r="B737" s="116">
        <v>313015</v>
      </c>
    </row>
    <row r="738" spans="2:2">
      <c r="B738" s="115">
        <v>313380</v>
      </c>
    </row>
    <row r="739" spans="2:2">
      <c r="B739" s="116">
        <v>313745</v>
      </c>
    </row>
    <row r="740" spans="2:2">
      <c r="B740" s="115">
        <v>314110</v>
      </c>
    </row>
    <row r="741" spans="2:2">
      <c r="B741" s="116">
        <v>314476</v>
      </c>
    </row>
    <row r="742" spans="2:2">
      <c r="B742" s="115">
        <v>314841</v>
      </c>
    </row>
    <row r="743" spans="2:2">
      <c r="B743" s="116">
        <v>315206</v>
      </c>
    </row>
    <row r="744" spans="2:2">
      <c r="B744" s="115">
        <v>315571</v>
      </c>
    </row>
    <row r="745" spans="2:2">
      <c r="B745" s="117">
        <v>315937</v>
      </c>
    </row>
    <row r="746" spans="2:2">
      <c r="B746" s="115">
        <v>316302</v>
      </c>
    </row>
    <row r="747" spans="2:2">
      <c r="B747" s="117">
        <v>316667</v>
      </c>
    </row>
    <row r="748" spans="2:2">
      <c r="B748" s="115">
        <v>317032</v>
      </c>
    </row>
    <row r="749" spans="2:2">
      <c r="B749" s="116">
        <v>317398</v>
      </c>
    </row>
    <row r="750" spans="2:2">
      <c r="B750" s="115">
        <v>317763</v>
      </c>
    </row>
    <row r="751" spans="2:2">
      <c r="B751" s="116">
        <v>318128</v>
      </c>
    </row>
    <row r="752" spans="2:2">
      <c r="B752" s="115">
        <v>318493</v>
      </c>
    </row>
    <row r="753" spans="2:2">
      <c r="B753" s="116">
        <v>318859</v>
      </c>
    </row>
    <row r="754" spans="2:2">
      <c r="B754" s="115">
        <v>319224</v>
      </c>
    </row>
    <row r="755" spans="2:2">
      <c r="B755" s="116">
        <v>319589</v>
      </c>
    </row>
    <row r="756" spans="2:2">
      <c r="B756" s="115">
        <v>319954</v>
      </c>
    </row>
    <row r="757" spans="2:2">
      <c r="B757" s="117">
        <v>320320</v>
      </c>
    </row>
    <row r="758" spans="2:2">
      <c r="B758" s="115">
        <v>320685</v>
      </c>
    </row>
    <row r="759" spans="2:2">
      <c r="B759" s="117">
        <v>321050</v>
      </c>
    </row>
    <row r="760" spans="2:2">
      <c r="B760" s="115">
        <v>321415</v>
      </c>
    </row>
    <row r="761" spans="2:2">
      <c r="B761" s="116">
        <v>321781</v>
      </c>
    </row>
    <row r="762" spans="2:2">
      <c r="B762" s="115">
        <v>322146</v>
      </c>
    </row>
    <row r="763" spans="2:2">
      <c r="B763" s="116">
        <v>322511</v>
      </c>
    </row>
    <row r="764" spans="2:2">
      <c r="B764" s="115">
        <v>322876</v>
      </c>
    </row>
    <row r="765" spans="2:2">
      <c r="B765" s="116">
        <v>323242</v>
      </c>
    </row>
    <row r="766" spans="2:2">
      <c r="B766" s="115">
        <v>323607</v>
      </c>
    </row>
    <row r="767" spans="2:2">
      <c r="B767" s="116">
        <v>323972</v>
      </c>
    </row>
    <row r="768" spans="2:2">
      <c r="B768" s="115">
        <v>324337</v>
      </c>
    </row>
    <row r="769" spans="2:2">
      <c r="B769" s="117">
        <v>324703</v>
      </c>
    </row>
    <row r="770" spans="2:2">
      <c r="B770" s="115">
        <v>325068</v>
      </c>
    </row>
    <row r="771" spans="2:2">
      <c r="B771" s="117">
        <v>325433</v>
      </c>
    </row>
    <row r="772" spans="2:2">
      <c r="B772" s="115">
        <v>325798</v>
      </c>
    </row>
    <row r="773" spans="2:2">
      <c r="B773" s="116">
        <v>326164</v>
      </c>
    </row>
    <row r="774" spans="2:2">
      <c r="B774" s="115">
        <v>326529</v>
      </c>
    </row>
    <row r="775" spans="2:2">
      <c r="B775" s="116">
        <v>326894</v>
      </c>
    </row>
    <row r="776" spans="2:2">
      <c r="B776" s="115">
        <v>327259</v>
      </c>
    </row>
    <row r="777" spans="2:2">
      <c r="B777" s="116">
        <v>327625</v>
      </c>
    </row>
    <row r="778" spans="2:2">
      <c r="B778" s="115">
        <v>327990</v>
      </c>
    </row>
    <row r="779" spans="2:2">
      <c r="B779" s="116">
        <v>328355</v>
      </c>
    </row>
    <row r="780" spans="2:2">
      <c r="B780" s="115">
        <v>328720</v>
      </c>
    </row>
    <row r="781" spans="2:2">
      <c r="B781" s="117">
        <v>329086</v>
      </c>
    </row>
    <row r="782" spans="2:2">
      <c r="B782" s="115">
        <v>329451</v>
      </c>
    </row>
    <row r="783" spans="2:2">
      <c r="B783" s="117">
        <v>329816</v>
      </c>
    </row>
    <row r="784" spans="2:2">
      <c r="B784" s="115">
        <v>330181</v>
      </c>
    </row>
    <row r="785" spans="2:2">
      <c r="B785" s="116">
        <v>330547</v>
      </c>
    </row>
    <row r="786" spans="2:2">
      <c r="B786" s="115">
        <v>330912</v>
      </c>
    </row>
    <row r="787" spans="2:2">
      <c r="B787" s="116">
        <v>331277</v>
      </c>
    </row>
    <row r="788" spans="2:2">
      <c r="B788" s="115">
        <v>331642</v>
      </c>
    </row>
    <row r="789" spans="2:2">
      <c r="B789" s="116">
        <v>332008</v>
      </c>
    </row>
    <row r="790" spans="2:2">
      <c r="B790" s="115">
        <v>332373</v>
      </c>
    </row>
    <row r="791" spans="2:2">
      <c r="B791" s="116">
        <v>332738</v>
      </c>
    </row>
    <row r="792" spans="2:2">
      <c r="B792" s="115">
        <v>333103</v>
      </c>
    </row>
    <row r="793" spans="2:2">
      <c r="B793" s="117">
        <v>333469</v>
      </c>
    </row>
    <row r="794" spans="2:2">
      <c r="B794" s="115">
        <v>333834</v>
      </c>
    </row>
    <row r="795" spans="2:2">
      <c r="B795" s="117">
        <v>334199</v>
      </c>
    </row>
    <row r="796" spans="2:2">
      <c r="B796" s="115">
        <v>334564</v>
      </c>
    </row>
    <row r="797" spans="2:2">
      <c r="B797" s="116">
        <v>334930</v>
      </c>
    </row>
    <row r="798" spans="2:2">
      <c r="B798" s="115">
        <v>335295</v>
      </c>
    </row>
    <row r="799" spans="2:2">
      <c r="B799" s="116">
        <v>335660</v>
      </c>
    </row>
    <row r="800" spans="2:2">
      <c r="B800" s="115">
        <v>336025</v>
      </c>
    </row>
    <row r="801" spans="2:2">
      <c r="B801" s="116">
        <v>336391</v>
      </c>
    </row>
    <row r="802" spans="2:2">
      <c r="B802" s="115">
        <v>336756</v>
      </c>
    </row>
    <row r="803" spans="2:2">
      <c r="B803" s="116">
        <v>337121</v>
      </c>
    </row>
    <row r="804" spans="2:2">
      <c r="B804" s="115">
        <v>337486</v>
      </c>
    </row>
    <row r="805" spans="2:2">
      <c r="B805" s="117">
        <v>337852</v>
      </c>
    </row>
    <row r="806" spans="2:2">
      <c r="B806" s="115">
        <v>338217</v>
      </c>
    </row>
    <row r="807" spans="2:2">
      <c r="B807" s="117">
        <v>338582</v>
      </c>
    </row>
    <row r="808" spans="2:2">
      <c r="B808" s="115">
        <v>338947</v>
      </c>
    </row>
    <row r="809" spans="2:2">
      <c r="B809" s="116">
        <v>339313</v>
      </c>
    </row>
    <row r="810" spans="2:2">
      <c r="B810" s="115">
        <v>339678</v>
      </c>
    </row>
    <row r="811" spans="2:2">
      <c r="B811" s="116">
        <v>340043</v>
      </c>
    </row>
    <row r="812" spans="2:2">
      <c r="B812" s="115">
        <v>340408</v>
      </c>
    </row>
    <row r="813" spans="2:2">
      <c r="B813" s="116">
        <v>340774</v>
      </c>
    </row>
    <row r="814" spans="2:2">
      <c r="B814" s="115">
        <v>341139</v>
      </c>
    </row>
    <row r="815" spans="2:2">
      <c r="B815" s="116">
        <v>341504</v>
      </c>
    </row>
    <row r="816" spans="2:2">
      <c r="B816" s="115">
        <v>341869</v>
      </c>
    </row>
    <row r="817" spans="2:2">
      <c r="B817" s="117">
        <v>342235</v>
      </c>
    </row>
    <row r="818" spans="2:2">
      <c r="B818" s="115">
        <v>342600</v>
      </c>
    </row>
    <row r="819" spans="2:2">
      <c r="B819" s="117">
        <v>342965</v>
      </c>
    </row>
    <row r="820" spans="2:2">
      <c r="B820" s="115">
        <v>343330</v>
      </c>
    </row>
    <row r="821" spans="2:2">
      <c r="B821" s="116">
        <v>343696</v>
      </c>
    </row>
    <row r="822" spans="2:2">
      <c r="B822" s="115">
        <v>344061</v>
      </c>
    </row>
    <row r="823" spans="2:2">
      <c r="B823" s="116">
        <v>344426</v>
      </c>
    </row>
    <row r="824" spans="2:2">
      <c r="B824" s="115">
        <v>344791</v>
      </c>
    </row>
    <row r="825" spans="2:2">
      <c r="B825" s="116">
        <v>345157</v>
      </c>
    </row>
    <row r="826" spans="2:2">
      <c r="B826" s="115">
        <v>345522</v>
      </c>
    </row>
    <row r="827" spans="2:2">
      <c r="B827" s="116">
        <v>345887</v>
      </c>
    </row>
    <row r="828" spans="2:2">
      <c r="B828" s="115">
        <v>346252</v>
      </c>
    </row>
    <row r="829" spans="2:2">
      <c r="B829" s="117">
        <v>346618</v>
      </c>
    </row>
    <row r="830" spans="2:2">
      <c r="B830" s="115">
        <v>346983</v>
      </c>
    </row>
    <row r="831" spans="2:2">
      <c r="B831" s="117">
        <v>347348</v>
      </c>
    </row>
    <row r="832" spans="2:2">
      <c r="B832" s="115">
        <v>347713</v>
      </c>
    </row>
    <row r="833" spans="2:2">
      <c r="B833" s="116">
        <v>348079</v>
      </c>
    </row>
    <row r="834" spans="2:2">
      <c r="B834" s="115">
        <v>348444</v>
      </c>
    </row>
    <row r="835" spans="2:2">
      <c r="B835" s="116">
        <v>348809</v>
      </c>
    </row>
    <row r="836" spans="2:2">
      <c r="B836" s="115">
        <v>349174</v>
      </c>
    </row>
    <row r="837" spans="2:2">
      <c r="B837" s="116">
        <v>349540</v>
      </c>
    </row>
    <row r="838" spans="2:2">
      <c r="B838" s="115">
        <v>349905</v>
      </c>
    </row>
    <row r="839" spans="2:2">
      <c r="B839" s="116">
        <v>350270</v>
      </c>
    </row>
    <row r="840" spans="2:2">
      <c r="B840" s="115">
        <v>350635</v>
      </c>
    </row>
    <row r="841" spans="2:2">
      <c r="B841" s="117">
        <v>351001</v>
      </c>
    </row>
    <row r="842" spans="2:2">
      <c r="B842" s="115">
        <v>351366</v>
      </c>
    </row>
    <row r="843" spans="2:2">
      <c r="B843" s="117">
        <v>351731</v>
      </c>
    </row>
    <row r="844" spans="2:2">
      <c r="B844" s="115">
        <v>352096</v>
      </c>
    </row>
    <row r="845" spans="2:2">
      <c r="B845" s="116">
        <v>352462</v>
      </c>
    </row>
    <row r="846" spans="2:2">
      <c r="B846" s="115">
        <v>352827</v>
      </c>
    </row>
    <row r="847" spans="2:2">
      <c r="B847" s="116">
        <v>353192</v>
      </c>
    </row>
    <row r="848" spans="2:2">
      <c r="B848" s="115">
        <v>353557</v>
      </c>
    </row>
    <row r="849" spans="2:2">
      <c r="B849" s="116">
        <v>353923</v>
      </c>
    </row>
    <row r="850" spans="2:2">
      <c r="B850" s="115">
        <v>354288</v>
      </c>
    </row>
    <row r="851" spans="2:2">
      <c r="B851" s="116">
        <v>354653</v>
      </c>
    </row>
    <row r="852" spans="2:2">
      <c r="B852" s="115">
        <v>355018</v>
      </c>
    </row>
    <row r="853" spans="2:2">
      <c r="B853" s="117">
        <v>355384</v>
      </c>
    </row>
    <row r="854" spans="2:2">
      <c r="B854" s="115">
        <v>355749</v>
      </c>
    </row>
    <row r="855" spans="2:2">
      <c r="B855" s="117">
        <v>356114</v>
      </c>
    </row>
    <row r="856" spans="2:2">
      <c r="B856" s="115">
        <v>356479</v>
      </c>
    </row>
    <row r="857" spans="2:2">
      <c r="B857" s="116">
        <v>356845</v>
      </c>
    </row>
    <row r="858" spans="2:2">
      <c r="B858" s="115">
        <v>357210</v>
      </c>
    </row>
    <row r="859" spans="2:2">
      <c r="B859" s="116">
        <v>357575</v>
      </c>
    </row>
    <row r="860" spans="2:2">
      <c r="B860" s="115">
        <v>357940</v>
      </c>
    </row>
    <row r="861" spans="2:2">
      <c r="B861" s="116">
        <v>358306</v>
      </c>
    </row>
    <row r="862" spans="2:2">
      <c r="B862" s="115">
        <v>358671</v>
      </c>
    </row>
    <row r="863" spans="2:2">
      <c r="B863" s="116">
        <v>359036</v>
      </c>
    </row>
    <row r="864" spans="2:2">
      <c r="B864" s="115">
        <v>359401</v>
      </c>
    </row>
    <row r="865" spans="2:2">
      <c r="B865" s="117">
        <v>359767</v>
      </c>
    </row>
    <row r="866" spans="2:2">
      <c r="B866" s="115">
        <v>360132</v>
      </c>
    </row>
    <row r="867" spans="2:2">
      <c r="B867" s="117">
        <v>360497</v>
      </c>
    </row>
    <row r="868" spans="2:2">
      <c r="B868" s="115">
        <v>360862</v>
      </c>
    </row>
    <row r="869" spans="2:2">
      <c r="B869" s="116">
        <v>361228</v>
      </c>
    </row>
    <row r="870" spans="2:2">
      <c r="B870" s="115">
        <v>361593</v>
      </c>
    </row>
    <row r="871" spans="2:2">
      <c r="B871" s="116">
        <v>361958</v>
      </c>
    </row>
    <row r="872" spans="2:2">
      <c r="B872" s="115">
        <v>362323</v>
      </c>
    </row>
    <row r="873" spans="2:2">
      <c r="B873" s="116">
        <v>362689</v>
      </c>
    </row>
    <row r="874" spans="2:2">
      <c r="B874" s="115">
        <v>363054</v>
      </c>
    </row>
    <row r="875" spans="2:2">
      <c r="B875" s="116">
        <v>363419</v>
      </c>
    </row>
    <row r="876" spans="2:2">
      <c r="B876" s="115">
        <v>363784</v>
      </c>
    </row>
    <row r="877" spans="2:2">
      <c r="B877" s="117">
        <v>364150</v>
      </c>
    </row>
    <row r="878" spans="2:2">
      <c r="B878" s="115">
        <v>364515</v>
      </c>
    </row>
    <row r="879" spans="2:2">
      <c r="B879" s="117">
        <v>364880</v>
      </c>
    </row>
    <row r="880" spans="2:2">
      <c r="B880" s="115">
        <v>365245</v>
      </c>
    </row>
    <row r="881" spans="2:2">
      <c r="B881" s="116">
        <v>365610</v>
      </c>
    </row>
    <row r="882" spans="2:2">
      <c r="B882" s="115">
        <v>365975</v>
      </c>
    </row>
    <row r="883" spans="2:2">
      <c r="B883" s="116">
        <v>366340</v>
      </c>
    </row>
    <row r="884" spans="2:2">
      <c r="B884" s="115">
        <v>366705</v>
      </c>
    </row>
    <row r="885" spans="2:2">
      <c r="B885" s="116">
        <v>367071</v>
      </c>
    </row>
    <row r="886" spans="2:2">
      <c r="B886" s="115">
        <v>367436</v>
      </c>
    </row>
    <row r="887" spans="2:2">
      <c r="B887" s="116">
        <v>367801</v>
      </c>
    </row>
    <row r="888" spans="2:2">
      <c r="B888" s="115">
        <v>368166</v>
      </c>
    </row>
    <row r="889" spans="2:2">
      <c r="B889" s="117">
        <v>368532</v>
      </c>
    </row>
    <row r="890" spans="2:2">
      <c r="B890" s="115">
        <v>368897</v>
      </c>
    </row>
    <row r="891" spans="2:2">
      <c r="B891" s="117">
        <v>369262</v>
      </c>
    </row>
    <row r="892" spans="2:2">
      <c r="B892" s="115">
        <v>369627</v>
      </c>
    </row>
    <row r="893" spans="2:2">
      <c r="B893" s="116">
        <v>369993</v>
      </c>
    </row>
    <row r="894" spans="2:2">
      <c r="B894" s="115">
        <v>370358</v>
      </c>
    </row>
    <row r="895" spans="2:2">
      <c r="B895" s="116">
        <v>370723</v>
      </c>
    </row>
    <row r="896" spans="2:2">
      <c r="B896" s="115">
        <v>371088</v>
      </c>
    </row>
    <row r="897" spans="2:2">
      <c r="B897" s="116">
        <v>371454</v>
      </c>
    </row>
    <row r="898" spans="2:2">
      <c r="B898" s="115">
        <v>371819</v>
      </c>
    </row>
    <row r="899" spans="2:2">
      <c r="B899" s="116">
        <v>372184</v>
      </c>
    </row>
    <row r="900" spans="2:2">
      <c r="B900" s="115">
        <v>372549</v>
      </c>
    </row>
    <row r="901" spans="2:2">
      <c r="B901" s="117">
        <v>372915</v>
      </c>
    </row>
    <row r="902" spans="2:2">
      <c r="B902" s="115">
        <v>373280</v>
      </c>
    </row>
    <row r="903" spans="2:2">
      <c r="B903" s="117">
        <v>373645</v>
      </c>
    </row>
    <row r="904" spans="2:2">
      <c r="B904" s="115">
        <v>374010</v>
      </c>
    </row>
    <row r="905" spans="2:2">
      <c r="B905" s="116">
        <v>374376</v>
      </c>
    </row>
    <row r="906" spans="2:2">
      <c r="B906" s="115">
        <v>374741</v>
      </c>
    </row>
    <row r="907" spans="2:2">
      <c r="B907" s="116">
        <v>375106</v>
      </c>
    </row>
    <row r="908" spans="2:2">
      <c r="B908" s="115">
        <v>375471</v>
      </c>
    </row>
    <row r="909" spans="2:2">
      <c r="B909" s="116">
        <v>375837</v>
      </c>
    </row>
    <row r="910" spans="2:2">
      <c r="B910" s="115">
        <v>376202</v>
      </c>
    </row>
    <row r="911" spans="2:2">
      <c r="B911" s="116">
        <v>376567</v>
      </c>
    </row>
    <row r="912" spans="2:2">
      <c r="B912" s="115">
        <v>376932</v>
      </c>
    </row>
    <row r="913" spans="2:2">
      <c r="B913" s="117">
        <v>377298</v>
      </c>
    </row>
    <row r="914" spans="2:2">
      <c r="B914" s="115">
        <v>377663</v>
      </c>
    </row>
    <row r="915" spans="2:2">
      <c r="B915" s="117">
        <v>378028</v>
      </c>
    </row>
    <row r="916" spans="2:2">
      <c r="B916" s="115">
        <v>378393</v>
      </c>
    </row>
    <row r="917" spans="2:2">
      <c r="B917" s="116">
        <v>378759</v>
      </c>
    </row>
    <row r="918" spans="2:2">
      <c r="B918" s="115">
        <v>379124</v>
      </c>
    </row>
    <row r="919" spans="2:2">
      <c r="B919" s="116">
        <v>379489</v>
      </c>
    </row>
    <row r="920" spans="2:2">
      <c r="B920" s="115">
        <v>379854</v>
      </c>
    </row>
    <row r="921" spans="2:2">
      <c r="B921" s="116">
        <v>380220</v>
      </c>
    </row>
    <row r="922" spans="2:2">
      <c r="B922" s="115">
        <v>380585</v>
      </c>
    </row>
    <row r="923" spans="2:2">
      <c r="B923" s="116">
        <v>380950</v>
      </c>
    </row>
    <row r="924" spans="2:2">
      <c r="B924" s="115">
        <v>381315</v>
      </c>
    </row>
    <row r="925" spans="2:2">
      <c r="B925" s="117">
        <v>381681</v>
      </c>
    </row>
    <row r="926" spans="2:2">
      <c r="B926" s="115">
        <v>382046</v>
      </c>
    </row>
    <row r="927" spans="2:2">
      <c r="B927" s="117">
        <v>382411</v>
      </c>
    </row>
    <row r="928" spans="2:2">
      <c r="B928" s="115">
        <v>382776</v>
      </c>
    </row>
    <row r="929" spans="2:2">
      <c r="B929" s="116">
        <v>383142</v>
      </c>
    </row>
    <row r="930" spans="2:2">
      <c r="B930" s="115">
        <v>383507</v>
      </c>
    </row>
    <row r="931" spans="2:2">
      <c r="B931" s="116">
        <v>383872</v>
      </c>
    </row>
    <row r="932" spans="2:2">
      <c r="B932" s="115">
        <v>384237</v>
      </c>
    </row>
    <row r="933" spans="2:2">
      <c r="B933" s="116">
        <v>384603</v>
      </c>
    </row>
    <row r="934" spans="2:2">
      <c r="B934" s="115">
        <v>384968</v>
      </c>
    </row>
    <row r="935" spans="2:2">
      <c r="B935" s="116">
        <v>385333</v>
      </c>
    </row>
    <row r="936" spans="2:2">
      <c r="B936" s="115">
        <v>385698</v>
      </c>
    </row>
    <row r="937" spans="2:2">
      <c r="B937" s="117">
        <v>386064</v>
      </c>
    </row>
    <row r="938" spans="2:2">
      <c r="B938" s="115">
        <v>386429</v>
      </c>
    </row>
    <row r="939" spans="2:2">
      <c r="B939" s="117">
        <v>386794</v>
      </c>
    </row>
    <row r="940" spans="2:2">
      <c r="B940" s="115">
        <v>387159</v>
      </c>
    </row>
    <row r="941" spans="2:2">
      <c r="B941" s="116">
        <v>387525</v>
      </c>
    </row>
    <row r="942" spans="2:2">
      <c r="B942" s="115">
        <v>387890</v>
      </c>
    </row>
    <row r="943" spans="2:2">
      <c r="B943" s="116">
        <v>388255</v>
      </c>
    </row>
    <row r="944" spans="2:2">
      <c r="B944" s="115">
        <v>388620</v>
      </c>
    </row>
    <row r="945" spans="2:2">
      <c r="B945" s="116">
        <v>388986</v>
      </c>
    </row>
    <row r="946" spans="2:2">
      <c r="B946" s="115">
        <v>389351</v>
      </c>
    </row>
    <row r="947" spans="2:2">
      <c r="B947" s="116">
        <v>389716</v>
      </c>
    </row>
    <row r="948" spans="2:2">
      <c r="B948" s="115">
        <v>390081</v>
      </c>
    </row>
    <row r="949" spans="2:2">
      <c r="B949" s="117">
        <v>390447</v>
      </c>
    </row>
    <row r="950" spans="2:2">
      <c r="B950" s="115">
        <v>390812</v>
      </c>
    </row>
    <row r="951" spans="2:2">
      <c r="B951" s="117">
        <v>391177</v>
      </c>
    </row>
    <row r="952" spans="2:2">
      <c r="B952" s="115">
        <v>391542</v>
      </c>
    </row>
    <row r="953" spans="2:2">
      <c r="B953" s="116">
        <v>391908</v>
      </c>
    </row>
    <row r="954" spans="2:2">
      <c r="B954" s="115">
        <v>392273</v>
      </c>
    </row>
    <row r="955" spans="2:2">
      <c r="B955" s="116">
        <v>392638</v>
      </c>
    </row>
    <row r="956" spans="2:2">
      <c r="B956" s="115">
        <v>393003</v>
      </c>
    </row>
    <row r="957" spans="2:2">
      <c r="B957" s="116">
        <v>393369</v>
      </c>
    </row>
    <row r="958" spans="2:2">
      <c r="B958" s="115">
        <v>393734</v>
      </c>
    </row>
    <row r="959" spans="2:2">
      <c r="B959" s="116">
        <v>394099</v>
      </c>
    </row>
    <row r="960" spans="2:2">
      <c r="B960" s="115">
        <v>394464</v>
      </c>
    </row>
    <row r="961" spans="2:2">
      <c r="B961" s="117">
        <v>394830</v>
      </c>
    </row>
    <row r="962" spans="2:2">
      <c r="B962" s="115">
        <v>395195</v>
      </c>
    </row>
    <row r="963" spans="2:2">
      <c r="B963" s="117">
        <v>395560</v>
      </c>
    </row>
    <row r="964" spans="2:2">
      <c r="B964" s="115">
        <v>395925</v>
      </c>
    </row>
    <row r="965" spans="2:2">
      <c r="B965" s="116">
        <v>396291</v>
      </c>
    </row>
    <row r="966" spans="2:2">
      <c r="B966" s="115">
        <v>396656</v>
      </c>
    </row>
    <row r="967" spans="2:2">
      <c r="B967" s="116">
        <v>397021</v>
      </c>
    </row>
    <row r="968" spans="2:2">
      <c r="B968" s="115">
        <v>397386</v>
      </c>
    </row>
    <row r="969" spans="2:2">
      <c r="B969" s="116">
        <v>397752</v>
      </c>
    </row>
    <row r="970" spans="2:2">
      <c r="B970" s="115">
        <v>398117</v>
      </c>
    </row>
    <row r="971" spans="2:2">
      <c r="B971" s="116">
        <v>398482</v>
      </c>
    </row>
    <row r="972" spans="2:2">
      <c r="B972" s="115">
        <v>398847</v>
      </c>
    </row>
    <row r="973" spans="2:2">
      <c r="B973" s="117">
        <v>399213</v>
      </c>
    </row>
    <row r="974" spans="2:2">
      <c r="B974" s="115">
        <v>399578</v>
      </c>
    </row>
    <row r="975" spans="2:2">
      <c r="B975" s="117">
        <v>399943</v>
      </c>
    </row>
    <row r="976" spans="2:2">
      <c r="B976" s="115">
        <v>400308</v>
      </c>
    </row>
    <row r="977" spans="2:2">
      <c r="B977" s="116">
        <v>400674</v>
      </c>
    </row>
    <row r="978" spans="2:2">
      <c r="B978" s="115">
        <v>401039</v>
      </c>
    </row>
    <row r="979" spans="2:2">
      <c r="B979" s="116">
        <v>401404</v>
      </c>
    </row>
    <row r="980" spans="2:2">
      <c r="B980" s="115">
        <v>401769</v>
      </c>
    </row>
    <row r="981" spans="2:2">
      <c r="B981" s="116">
        <v>402134</v>
      </c>
    </row>
    <row r="982" spans="2:2">
      <c r="B982" s="115">
        <v>402499</v>
      </c>
    </row>
    <row r="983" spans="2:2">
      <c r="B983" s="116">
        <v>402864</v>
      </c>
    </row>
    <row r="984" spans="2:2">
      <c r="B984" s="115">
        <v>403229</v>
      </c>
    </row>
    <row r="985" spans="2:2">
      <c r="B985" s="117">
        <v>403595</v>
      </c>
    </row>
    <row r="986" spans="2:2">
      <c r="B986" s="115">
        <v>403960</v>
      </c>
    </row>
    <row r="987" spans="2:2">
      <c r="B987" s="117">
        <v>404325</v>
      </c>
    </row>
    <row r="988" spans="2:2">
      <c r="B988" s="115">
        <v>404690</v>
      </c>
    </row>
    <row r="989" spans="2:2">
      <c r="B989" s="116">
        <v>405056</v>
      </c>
    </row>
    <row r="990" spans="2:2">
      <c r="B990" s="115">
        <v>405421</v>
      </c>
    </row>
    <row r="991" spans="2:2">
      <c r="B991" s="116">
        <v>405786</v>
      </c>
    </row>
    <row r="992" spans="2:2">
      <c r="B992" s="115">
        <v>406151</v>
      </c>
    </row>
    <row r="993" spans="2:2">
      <c r="B993" s="116">
        <v>406517</v>
      </c>
    </row>
    <row r="994" spans="2:2">
      <c r="B994" s="115">
        <v>406882</v>
      </c>
    </row>
    <row r="995" spans="2:2">
      <c r="B995" s="116">
        <v>407247</v>
      </c>
    </row>
    <row r="996" spans="2:2">
      <c r="B996" s="115">
        <v>407612</v>
      </c>
    </row>
    <row r="997" spans="2:2">
      <c r="B997" s="117">
        <v>407978</v>
      </c>
    </row>
    <row r="998" spans="2:2">
      <c r="B998" s="115">
        <v>408343</v>
      </c>
    </row>
    <row r="999" spans="2:2">
      <c r="B999" s="117">
        <v>408708</v>
      </c>
    </row>
    <row r="1000" spans="2:2">
      <c r="B1000" s="115">
        <v>409073</v>
      </c>
    </row>
    <row r="1001" spans="2:2">
      <c r="B1001" s="116">
        <v>409439</v>
      </c>
    </row>
    <row r="1002" spans="2:2">
      <c r="B1002" s="115">
        <v>409804</v>
      </c>
    </row>
    <row r="1003" spans="2:2">
      <c r="B1003" s="116">
        <v>410169</v>
      </c>
    </row>
    <row r="1004" spans="2:2">
      <c r="B1004" s="115">
        <v>410534</v>
      </c>
    </row>
    <row r="1005" spans="2:2">
      <c r="B1005" s="116">
        <v>410900</v>
      </c>
    </row>
    <row r="1006" spans="2:2">
      <c r="B1006" s="115">
        <v>411265</v>
      </c>
    </row>
    <row r="1007" spans="2:2">
      <c r="B1007" s="116">
        <v>411630</v>
      </c>
    </row>
    <row r="1008" spans="2:2">
      <c r="B1008" s="115">
        <v>411995</v>
      </c>
    </row>
    <row r="1009" spans="2:2">
      <c r="B1009" s="117">
        <v>412361</v>
      </c>
    </row>
    <row r="1010" spans="2:2">
      <c r="B1010" s="115">
        <v>412726</v>
      </c>
    </row>
    <row r="1011" spans="2:2">
      <c r="B1011" s="117">
        <v>413091</v>
      </c>
    </row>
    <row r="1012" spans="2:2">
      <c r="B1012" s="115">
        <v>413456</v>
      </c>
    </row>
    <row r="1013" spans="2:2">
      <c r="B1013" s="116">
        <v>413822</v>
      </c>
    </row>
    <row r="1014" spans="2:2">
      <c r="B1014" s="115">
        <v>414187</v>
      </c>
    </row>
    <row r="1015" spans="2:2">
      <c r="B1015" s="116">
        <v>414552</v>
      </c>
    </row>
    <row r="1016" spans="2:2">
      <c r="B1016" s="115">
        <v>414917</v>
      </c>
    </row>
    <row r="1017" spans="2:2">
      <c r="B1017" s="116">
        <v>415283</v>
      </c>
    </row>
    <row r="1018" spans="2:2">
      <c r="B1018" s="115">
        <v>415648</v>
      </c>
    </row>
    <row r="1019" spans="2:2">
      <c r="B1019" s="116">
        <v>416013</v>
      </c>
    </row>
    <row r="1020" spans="2:2">
      <c r="B1020" s="115">
        <v>416378</v>
      </c>
    </row>
    <row r="1021" spans="2:2">
      <c r="B1021" s="117">
        <v>416744</v>
      </c>
    </row>
    <row r="1022" spans="2:2">
      <c r="B1022" s="115">
        <v>417109</v>
      </c>
    </row>
    <row r="1023" spans="2:2">
      <c r="B1023" s="117">
        <v>417474</v>
      </c>
    </row>
    <row r="1024" spans="2:2">
      <c r="B1024" s="115">
        <v>417839</v>
      </c>
    </row>
    <row r="1025" spans="2:2">
      <c r="B1025" s="116">
        <v>418205</v>
      </c>
    </row>
    <row r="1026" spans="2:2">
      <c r="B1026" s="115">
        <v>418570</v>
      </c>
    </row>
    <row r="1027" spans="2:2">
      <c r="B1027" s="116">
        <v>418935</v>
      </c>
    </row>
    <row r="1028" spans="2:2">
      <c r="B1028" s="115">
        <v>419300</v>
      </c>
    </row>
    <row r="1029" spans="2:2">
      <c r="B1029" s="116">
        <v>419666</v>
      </c>
    </row>
    <row r="1030" spans="2:2">
      <c r="B1030" s="115">
        <v>420031</v>
      </c>
    </row>
    <row r="1031" spans="2:2">
      <c r="B1031" s="116">
        <v>420396</v>
      </c>
    </row>
    <row r="1032" spans="2:2">
      <c r="B1032" s="115">
        <v>420761</v>
      </c>
    </row>
    <row r="1033" spans="2:2">
      <c r="B1033" s="117">
        <v>421127</v>
      </c>
    </row>
    <row r="1034" spans="2:2">
      <c r="B1034" s="115">
        <v>421492</v>
      </c>
    </row>
    <row r="1035" spans="2:2">
      <c r="B1035" s="117">
        <v>421857</v>
      </c>
    </row>
    <row r="1036" spans="2:2">
      <c r="B1036" s="115">
        <v>422222</v>
      </c>
    </row>
    <row r="1037" spans="2:2">
      <c r="B1037" s="116">
        <v>422588</v>
      </c>
    </row>
    <row r="1038" spans="2:2">
      <c r="B1038" s="115">
        <v>422953</v>
      </c>
    </row>
    <row r="1039" spans="2:2">
      <c r="B1039" s="116">
        <v>423318</v>
      </c>
    </row>
    <row r="1040" spans="2:2">
      <c r="B1040" s="115">
        <v>423683</v>
      </c>
    </row>
    <row r="1041" spans="2:2">
      <c r="B1041" s="116">
        <v>424049</v>
      </c>
    </row>
    <row r="1042" spans="2:2">
      <c r="B1042" s="115">
        <v>424414</v>
      </c>
    </row>
    <row r="1043" spans="2:2">
      <c r="B1043" s="116">
        <v>424779</v>
      </c>
    </row>
    <row r="1044" spans="2:2">
      <c r="B1044" s="115">
        <v>425144</v>
      </c>
    </row>
    <row r="1045" spans="2:2">
      <c r="B1045" s="117">
        <v>425510</v>
      </c>
    </row>
    <row r="1046" spans="2:2">
      <c r="B1046" s="115">
        <v>425875</v>
      </c>
    </row>
    <row r="1047" spans="2:2">
      <c r="B1047" s="117">
        <v>426240</v>
      </c>
    </row>
    <row r="1048" spans="2:2">
      <c r="B1048" s="115">
        <v>426605</v>
      </c>
    </row>
    <row r="1049" spans="2:2">
      <c r="B1049" s="116">
        <v>426971</v>
      </c>
    </row>
    <row r="1050" spans="2:2">
      <c r="B1050" s="115">
        <v>427336</v>
      </c>
    </row>
    <row r="1051" spans="2:2">
      <c r="B1051" s="116">
        <v>427701</v>
      </c>
    </row>
    <row r="1052" spans="2:2">
      <c r="B1052" s="115">
        <v>428066</v>
      </c>
    </row>
    <row r="1053" spans="2:2">
      <c r="B1053" s="116">
        <v>428432</v>
      </c>
    </row>
    <row r="1054" spans="2:2">
      <c r="B1054" s="115">
        <v>428797</v>
      </c>
    </row>
    <row r="1055" spans="2:2">
      <c r="B1055" s="116">
        <v>429162</v>
      </c>
    </row>
    <row r="1056" spans="2:2">
      <c r="B1056" s="115">
        <v>429527</v>
      </c>
    </row>
    <row r="1057" spans="2:2">
      <c r="B1057" s="117">
        <v>429893</v>
      </c>
    </row>
    <row r="1058" spans="2:2">
      <c r="B1058" s="115">
        <v>430258</v>
      </c>
    </row>
    <row r="1059" spans="2:2">
      <c r="B1059" s="117">
        <v>430623</v>
      </c>
    </row>
    <row r="1060" spans="2:2">
      <c r="B1060" s="115">
        <v>430988</v>
      </c>
    </row>
    <row r="1061" spans="2:2">
      <c r="B1061" s="116">
        <v>431354</v>
      </c>
    </row>
    <row r="1062" spans="2:2">
      <c r="B1062" s="115">
        <v>431719</v>
      </c>
    </row>
    <row r="1063" spans="2:2">
      <c r="B1063" s="116">
        <v>432084</v>
      </c>
    </row>
    <row r="1064" spans="2:2">
      <c r="B1064" s="115">
        <v>432449</v>
      </c>
    </row>
    <row r="1065" spans="2:2">
      <c r="B1065" s="116">
        <v>432815</v>
      </c>
    </row>
    <row r="1066" spans="2:2">
      <c r="B1066" s="115">
        <v>433180</v>
      </c>
    </row>
    <row r="1067" spans="2:2">
      <c r="B1067" s="116">
        <v>433545</v>
      </c>
    </row>
    <row r="1068" spans="2:2">
      <c r="B1068" s="115">
        <v>433910</v>
      </c>
    </row>
    <row r="1069" spans="2:2">
      <c r="B1069" s="117">
        <v>434276</v>
      </c>
    </row>
    <row r="1070" spans="2:2">
      <c r="B1070" s="115">
        <v>434641</v>
      </c>
    </row>
    <row r="1071" spans="2:2">
      <c r="B1071" s="117">
        <v>435006</v>
      </c>
    </row>
    <row r="1072" spans="2:2">
      <c r="B1072" s="115">
        <v>435371</v>
      </c>
    </row>
    <row r="1073" spans="2:2">
      <c r="B1073" s="116">
        <v>435737</v>
      </c>
    </row>
    <row r="1074" spans="2:2">
      <c r="B1074" s="115">
        <v>436102</v>
      </c>
    </row>
    <row r="1075" spans="2:2">
      <c r="B1075" s="116">
        <v>436467</v>
      </c>
    </row>
    <row r="1076" spans="2:2">
      <c r="B1076" s="115">
        <v>436832</v>
      </c>
    </row>
    <row r="1077" spans="2:2">
      <c r="B1077" s="116">
        <v>437198</v>
      </c>
    </row>
    <row r="1078" spans="2:2">
      <c r="B1078" s="115">
        <v>437563</v>
      </c>
    </row>
    <row r="1079" spans="2:2">
      <c r="B1079" s="116">
        <v>437928</v>
      </c>
    </row>
    <row r="1080" spans="2:2">
      <c r="B1080" s="115">
        <v>438293</v>
      </c>
    </row>
    <row r="1081" spans="2:2">
      <c r="B1081" s="117">
        <v>438658</v>
      </c>
    </row>
    <row r="1082" spans="2:2">
      <c r="B1082" s="115">
        <v>439023</v>
      </c>
    </row>
    <row r="1083" spans="2:2">
      <c r="B1083" s="117">
        <v>439388</v>
      </c>
    </row>
    <row r="1084" spans="2:2">
      <c r="B1084" s="115">
        <v>439753</v>
      </c>
    </row>
    <row r="1085" spans="2:2">
      <c r="B1085" s="116">
        <v>440119</v>
      </c>
    </row>
    <row r="1086" spans="2:2">
      <c r="B1086" s="115">
        <v>440484</v>
      </c>
    </row>
    <row r="1087" spans="2:2">
      <c r="B1087" s="116">
        <v>440849</v>
      </c>
    </row>
    <row r="1088" spans="2:2">
      <c r="B1088" s="115">
        <v>441214</v>
      </c>
    </row>
    <row r="1089" spans="2:2">
      <c r="B1089" s="116">
        <v>441580</v>
      </c>
    </row>
    <row r="1090" spans="2:2">
      <c r="B1090" s="115">
        <v>441945</v>
      </c>
    </row>
    <row r="1091" spans="2:2">
      <c r="B1091" s="116">
        <v>442310</v>
      </c>
    </row>
    <row r="1092" spans="2:2">
      <c r="B1092" s="115">
        <v>442675</v>
      </c>
    </row>
    <row r="1093" spans="2:2">
      <c r="B1093" s="117">
        <v>443041</v>
      </c>
    </row>
    <row r="1094" spans="2:2">
      <c r="B1094" s="115">
        <v>443406</v>
      </c>
    </row>
    <row r="1095" spans="2:2">
      <c r="B1095" s="117">
        <v>443771</v>
      </c>
    </row>
    <row r="1096" spans="2:2">
      <c r="B1096" s="115">
        <v>444136</v>
      </c>
    </row>
    <row r="1097" spans="2:2">
      <c r="B1097" s="116">
        <v>444502</v>
      </c>
    </row>
    <row r="1098" spans="2:2">
      <c r="B1098" s="115">
        <v>444867</v>
      </c>
    </row>
    <row r="1099" spans="2:2">
      <c r="B1099" s="116">
        <v>445232</v>
      </c>
    </row>
    <row r="1100" spans="2:2">
      <c r="B1100" s="115">
        <v>445597</v>
      </c>
    </row>
    <row r="1101" spans="2:2">
      <c r="B1101" s="116">
        <v>445963</v>
      </c>
    </row>
    <row r="1102" spans="2:2">
      <c r="B1102" s="115">
        <v>446328</v>
      </c>
    </row>
    <row r="1103" spans="2:2">
      <c r="B1103" s="116">
        <v>446693</v>
      </c>
    </row>
    <row r="1104" spans="2:2">
      <c r="B1104" s="115">
        <v>447058</v>
      </c>
    </row>
    <row r="1105" spans="2:2">
      <c r="B1105" s="117">
        <v>447424</v>
      </c>
    </row>
    <row r="1106" spans="2:2">
      <c r="B1106" s="115">
        <v>447789</v>
      </c>
    </row>
    <row r="1107" spans="2:2">
      <c r="B1107" s="117">
        <v>448154</v>
      </c>
    </row>
    <row r="1108" spans="2:2">
      <c r="B1108" s="115">
        <v>448519</v>
      </c>
    </row>
    <row r="1109" spans="2:2">
      <c r="B1109" s="116">
        <v>448885</v>
      </c>
    </row>
    <row r="1110" spans="2:2">
      <c r="B1110" s="115">
        <v>449250</v>
      </c>
    </row>
    <row r="1111" spans="2:2">
      <c r="B1111" s="116">
        <v>449615</v>
      </c>
    </row>
    <row r="1112" spans="2:2">
      <c r="B1112" s="115">
        <v>449980</v>
      </c>
    </row>
    <row r="1113" spans="2:2">
      <c r="B1113" s="116">
        <v>450346</v>
      </c>
    </row>
    <row r="1114" spans="2:2">
      <c r="B1114" s="115">
        <v>450711</v>
      </c>
    </row>
    <row r="1115" spans="2:2">
      <c r="B1115" s="116">
        <v>451076</v>
      </c>
    </row>
    <row r="1116" spans="2:2">
      <c r="B1116" s="115">
        <v>451441</v>
      </c>
    </row>
    <row r="1117" spans="2:2">
      <c r="B1117" s="117">
        <v>451807</v>
      </c>
    </row>
    <row r="1118" spans="2:2">
      <c r="B1118" s="115">
        <v>452172</v>
      </c>
    </row>
    <row r="1119" spans="2:2">
      <c r="B1119" s="117">
        <v>452537</v>
      </c>
    </row>
    <row r="1120" spans="2:2">
      <c r="B1120" s="115">
        <v>452902</v>
      </c>
    </row>
    <row r="1121" spans="2:2">
      <c r="B1121" s="116">
        <v>453268</v>
      </c>
    </row>
    <row r="1122" spans="2:2">
      <c r="B1122" s="115">
        <v>453633</v>
      </c>
    </row>
    <row r="1123" spans="2:2">
      <c r="B1123" s="116">
        <v>453998</v>
      </c>
    </row>
    <row r="1124" spans="2:2">
      <c r="B1124" s="115">
        <v>454363</v>
      </c>
    </row>
    <row r="1125" spans="2:2">
      <c r="B1125" s="116">
        <v>454729</v>
      </c>
    </row>
    <row r="1126" spans="2:2">
      <c r="B1126" s="115">
        <v>455094</v>
      </c>
    </row>
    <row r="1127" spans="2:2">
      <c r="B1127" s="116">
        <v>455459</v>
      </c>
    </row>
    <row r="1128" spans="2:2">
      <c r="B1128" s="115">
        <v>455824</v>
      </c>
    </row>
    <row r="1129" spans="2:2">
      <c r="B1129" s="117">
        <v>456190</v>
      </c>
    </row>
    <row r="1130" spans="2:2">
      <c r="B1130" s="115">
        <v>456555</v>
      </c>
    </row>
    <row r="1131" spans="2:2">
      <c r="B1131" s="117">
        <v>456920</v>
      </c>
    </row>
    <row r="1132" spans="2:2">
      <c r="B1132" s="115">
        <v>457285</v>
      </c>
    </row>
    <row r="1133" spans="2:2">
      <c r="B1133" s="116">
        <v>457651</v>
      </c>
    </row>
    <row r="1134" spans="2:2">
      <c r="B1134" s="115">
        <v>458016</v>
      </c>
    </row>
    <row r="1135" spans="2:2">
      <c r="B1135" s="116">
        <v>458381</v>
      </c>
    </row>
    <row r="1136" spans="2:2">
      <c r="B1136" s="115">
        <v>458746</v>
      </c>
    </row>
    <row r="1137" spans="2:2">
      <c r="B1137" s="116">
        <v>459112</v>
      </c>
    </row>
    <row r="1138" spans="2:2">
      <c r="B1138" s="115">
        <v>459477</v>
      </c>
    </row>
    <row r="1139" spans="2:2">
      <c r="B1139" s="116">
        <v>459842</v>
      </c>
    </row>
    <row r="1140" spans="2:2">
      <c r="B1140" s="115">
        <v>460207</v>
      </c>
    </row>
    <row r="1141" spans="2:2">
      <c r="B1141" s="117">
        <v>460573</v>
      </c>
    </row>
    <row r="1142" spans="2:2">
      <c r="B1142" s="115">
        <v>460938</v>
      </c>
    </row>
    <row r="1143" spans="2:2">
      <c r="B1143" s="117">
        <v>461303</v>
      </c>
    </row>
    <row r="1144" spans="2:2">
      <c r="B1144" s="115">
        <v>461668</v>
      </c>
    </row>
    <row r="1145" spans="2:2">
      <c r="B1145" s="116">
        <v>462034</v>
      </c>
    </row>
    <row r="1146" spans="2:2">
      <c r="B1146" s="115">
        <v>462399</v>
      </c>
    </row>
    <row r="1147" spans="2:2">
      <c r="B1147" s="116">
        <v>462764</v>
      </c>
    </row>
    <row r="1148" spans="2:2">
      <c r="B1148" s="115">
        <v>463129</v>
      </c>
    </row>
    <row r="1149" spans="2:2">
      <c r="B1149" s="116">
        <v>463495</v>
      </c>
    </row>
    <row r="1150" spans="2:2">
      <c r="B1150" s="115">
        <v>463860</v>
      </c>
    </row>
    <row r="1151" spans="2:2">
      <c r="B1151" s="116">
        <v>464225</v>
      </c>
    </row>
    <row r="1152" spans="2:2">
      <c r="B1152" s="115">
        <v>464590</v>
      </c>
    </row>
    <row r="1153" spans="2:2">
      <c r="B1153" s="117">
        <v>464956</v>
      </c>
    </row>
    <row r="1154" spans="2:2">
      <c r="B1154" s="115">
        <v>465321</v>
      </c>
    </row>
    <row r="1155" spans="2:2">
      <c r="B1155" s="117">
        <v>465686</v>
      </c>
    </row>
    <row r="1156" spans="2:2">
      <c r="B1156" s="115">
        <v>466051</v>
      </c>
    </row>
    <row r="1157" spans="2:2">
      <c r="B1157" s="116">
        <v>466417</v>
      </c>
    </row>
    <row r="1158" spans="2:2">
      <c r="B1158" s="115">
        <v>466782</v>
      </c>
    </row>
    <row r="1159" spans="2:2">
      <c r="B1159" s="116">
        <v>467147</v>
      </c>
    </row>
    <row r="1160" spans="2:2">
      <c r="B1160" s="115">
        <v>467512</v>
      </c>
    </row>
    <row r="1161" spans="2:2">
      <c r="B1161" s="116">
        <v>467878</v>
      </c>
    </row>
    <row r="1162" spans="2:2">
      <c r="B1162" s="115">
        <v>468243</v>
      </c>
    </row>
    <row r="1163" spans="2:2">
      <c r="B1163" s="116">
        <v>468608</v>
      </c>
    </row>
    <row r="1164" spans="2:2">
      <c r="B1164" s="115">
        <v>468973</v>
      </c>
    </row>
    <row r="1165" spans="2:2">
      <c r="B1165" s="117">
        <v>469339</v>
      </c>
    </row>
    <row r="1166" spans="2:2">
      <c r="B1166" s="115">
        <v>469704</v>
      </c>
    </row>
    <row r="1167" spans="2:2">
      <c r="B1167" s="117">
        <v>470069</v>
      </c>
    </row>
    <row r="1168" spans="2:2">
      <c r="B1168" s="115">
        <v>470434</v>
      </c>
    </row>
    <row r="1169" spans="2:2">
      <c r="B1169" s="116">
        <v>470800</v>
      </c>
    </row>
    <row r="1170" spans="2:2">
      <c r="B1170" s="115">
        <v>471165</v>
      </c>
    </row>
    <row r="1171" spans="2:2">
      <c r="B1171" s="116">
        <v>471530</v>
      </c>
    </row>
    <row r="1172" spans="2:2">
      <c r="B1172" s="115">
        <v>471895</v>
      </c>
    </row>
    <row r="1173" spans="2:2">
      <c r="B1173" s="116">
        <v>472261</v>
      </c>
    </row>
    <row r="1174" spans="2:2">
      <c r="B1174" s="115">
        <v>472626</v>
      </c>
    </row>
    <row r="1175" spans="2:2">
      <c r="B1175" s="116">
        <v>472991</v>
      </c>
    </row>
    <row r="1176" spans="2:2">
      <c r="B1176" s="115">
        <v>473356</v>
      </c>
    </row>
    <row r="1177" spans="2:2">
      <c r="B1177" s="117">
        <v>473722</v>
      </c>
    </row>
    <row r="1178" spans="2:2">
      <c r="B1178" s="115">
        <v>474087</v>
      </c>
    </row>
    <row r="1179" spans="2:2">
      <c r="B1179" s="117">
        <v>474452</v>
      </c>
    </row>
    <row r="1180" spans="2:2">
      <c r="B1180" s="115">
        <v>474817</v>
      </c>
    </row>
    <row r="1181" spans="2:2">
      <c r="B1181" s="116">
        <v>475183</v>
      </c>
    </row>
    <row r="1182" spans="2:2">
      <c r="B1182" s="115">
        <v>475548</v>
      </c>
    </row>
    <row r="1183" spans="2:2">
      <c r="B1183" s="116">
        <v>475913</v>
      </c>
    </row>
    <row r="1184" spans="2:2">
      <c r="B1184" s="115">
        <v>476278</v>
      </c>
    </row>
    <row r="1185" spans="2:2">
      <c r="B1185" s="116">
        <v>476644</v>
      </c>
    </row>
    <row r="1186" spans="2:2">
      <c r="B1186" s="115">
        <v>477009</v>
      </c>
    </row>
    <row r="1187" spans="2:2">
      <c r="B1187" s="116">
        <v>477374</v>
      </c>
    </row>
    <row r="1188" spans="2:2">
      <c r="B1188" s="115">
        <v>477739</v>
      </c>
    </row>
    <row r="1189" spans="2:2">
      <c r="B1189" s="117">
        <v>478105</v>
      </c>
    </row>
    <row r="1190" spans="2:2">
      <c r="B1190" s="115">
        <v>478470</v>
      </c>
    </row>
    <row r="1191" spans="2:2">
      <c r="B1191" s="117">
        <v>478835</v>
      </c>
    </row>
    <row r="1192" spans="2:2">
      <c r="B1192" s="115">
        <v>479200</v>
      </c>
    </row>
    <row r="1193" spans="2:2">
      <c r="B1193" s="116">
        <v>479566</v>
      </c>
    </row>
    <row r="1194" spans="2:2">
      <c r="B1194" s="115">
        <v>479931</v>
      </c>
    </row>
    <row r="1195" spans="2:2">
      <c r="B1195" s="116">
        <v>480296</v>
      </c>
    </row>
    <row r="1196" spans="2:2">
      <c r="B1196" s="115">
        <v>480661</v>
      </c>
    </row>
    <row r="1197" spans="2:2">
      <c r="B1197" s="116">
        <v>481027</v>
      </c>
    </row>
    <row r="1198" spans="2:2">
      <c r="B1198" s="115">
        <v>481392</v>
      </c>
    </row>
    <row r="1199" spans="2:2">
      <c r="B1199" s="116">
        <v>481757</v>
      </c>
    </row>
    <row r="1200" spans="2:2">
      <c r="B1200" s="115">
        <v>482122</v>
      </c>
    </row>
    <row r="1201" spans="2:2">
      <c r="B1201" s="117">
        <v>482488</v>
      </c>
    </row>
    <row r="1202" spans="2:2">
      <c r="B1202" s="115">
        <v>482853</v>
      </c>
    </row>
    <row r="1203" spans="2:2">
      <c r="B1203" s="117">
        <v>483218</v>
      </c>
    </row>
    <row r="1204" spans="2:2">
      <c r="B1204" s="115">
        <v>483583</v>
      </c>
    </row>
    <row r="1205" spans="2:2">
      <c r="B1205" s="116">
        <v>483949</v>
      </c>
    </row>
    <row r="1206" spans="2:2">
      <c r="B1206" s="115">
        <v>484314</v>
      </c>
    </row>
    <row r="1207" spans="2:2">
      <c r="B1207" s="116">
        <v>484679</v>
      </c>
    </row>
    <row r="1208" spans="2:2">
      <c r="B1208" s="115">
        <v>485044</v>
      </c>
    </row>
    <row r="1209" spans="2:2">
      <c r="B1209" s="116">
        <v>485410</v>
      </c>
    </row>
    <row r="1210" spans="2:2">
      <c r="B1210" s="115">
        <v>485775</v>
      </c>
    </row>
    <row r="1211" spans="2:2">
      <c r="B1211" s="116">
        <v>486140</v>
      </c>
    </row>
    <row r="1212" spans="2:2">
      <c r="B1212" s="115">
        <v>486505</v>
      </c>
    </row>
    <row r="1213" spans="2:2">
      <c r="B1213" s="117">
        <v>486871</v>
      </c>
    </row>
    <row r="1214" spans="2:2">
      <c r="B1214" s="115">
        <v>487236</v>
      </c>
    </row>
    <row r="1215" spans="2:2">
      <c r="B1215" s="117">
        <v>487601</v>
      </c>
    </row>
    <row r="1216" spans="2:2">
      <c r="B1216" s="115">
        <v>487966</v>
      </c>
    </row>
    <row r="1217" spans="2:2">
      <c r="B1217" s="116">
        <v>488332</v>
      </c>
    </row>
    <row r="1218" spans="2:2">
      <c r="B1218" s="115">
        <v>488697</v>
      </c>
    </row>
    <row r="1219" spans="2:2">
      <c r="B1219" s="116">
        <v>489062</v>
      </c>
    </row>
    <row r="1220" spans="2:2">
      <c r="B1220" s="115">
        <v>489427</v>
      </c>
    </row>
    <row r="1221" spans="2:2">
      <c r="B1221" s="116">
        <v>489793</v>
      </c>
    </row>
    <row r="1222" spans="2:2">
      <c r="B1222" s="115">
        <v>490158</v>
      </c>
    </row>
    <row r="1223" spans="2:2">
      <c r="B1223" s="116">
        <v>490523</v>
      </c>
    </row>
    <row r="1224" spans="2:2">
      <c r="B1224" s="115">
        <v>490888</v>
      </c>
    </row>
    <row r="1225" spans="2:2">
      <c r="B1225" s="117">
        <v>491254</v>
      </c>
    </row>
    <row r="1226" spans="2:2">
      <c r="B1226" s="115">
        <v>491619</v>
      </c>
    </row>
    <row r="1227" spans="2:2">
      <c r="B1227" s="117">
        <v>491984</v>
      </c>
    </row>
    <row r="1228" spans="2:2">
      <c r="B1228" s="115">
        <v>492349</v>
      </c>
    </row>
    <row r="1229" spans="2:2">
      <c r="B1229" s="116">
        <v>492715</v>
      </c>
    </row>
    <row r="1230" spans="2:2">
      <c r="B1230" s="115">
        <v>493080</v>
      </c>
    </row>
    <row r="1231" spans="2:2">
      <c r="B1231" s="116">
        <v>493445</v>
      </c>
    </row>
    <row r="1232" spans="2:2">
      <c r="B1232" s="115">
        <v>493810</v>
      </c>
    </row>
    <row r="1233" spans="2:2">
      <c r="B1233" s="116">
        <v>494176</v>
      </c>
    </row>
    <row r="1234" spans="2:2">
      <c r="B1234" s="115">
        <v>494541</v>
      </c>
    </row>
    <row r="1235" spans="2:2">
      <c r="B1235" s="116">
        <v>494906</v>
      </c>
    </row>
    <row r="1236" spans="2:2">
      <c r="B1236" s="115">
        <v>495271</v>
      </c>
    </row>
    <row r="1237" spans="2:2">
      <c r="B1237" s="117">
        <v>495637</v>
      </c>
    </row>
    <row r="1238" spans="2:2">
      <c r="B1238" s="115">
        <v>496002</v>
      </c>
    </row>
    <row r="1239" spans="2:2">
      <c r="B1239" s="117">
        <v>496367</v>
      </c>
    </row>
    <row r="1240" spans="2:2">
      <c r="B1240" s="115">
        <v>496732</v>
      </c>
    </row>
    <row r="1241" spans="2:2">
      <c r="B1241" s="116">
        <v>497098</v>
      </c>
    </row>
    <row r="1242" spans="2:2">
      <c r="B1242" s="115">
        <v>497463</v>
      </c>
    </row>
    <row r="1243" spans="2:2">
      <c r="B1243" s="116">
        <v>497828</v>
      </c>
    </row>
    <row r="1244" spans="2:2">
      <c r="B1244" s="115">
        <v>498193</v>
      </c>
    </row>
    <row r="1245" spans="2:2">
      <c r="B1245" s="116">
        <v>498559</v>
      </c>
    </row>
    <row r="1246" spans="2:2">
      <c r="B1246" s="115">
        <v>498924</v>
      </c>
    </row>
    <row r="1247" spans="2:2">
      <c r="B1247" s="116">
        <v>499289</v>
      </c>
    </row>
    <row r="1248" spans="2:2">
      <c r="B1248" s="115">
        <v>499654</v>
      </c>
    </row>
    <row r="1249" spans="2:2">
      <c r="B1249" s="117">
        <v>500020</v>
      </c>
    </row>
    <row r="1250" spans="2:2">
      <c r="B1250" s="115">
        <v>500385</v>
      </c>
    </row>
    <row r="1251" spans="2:2">
      <c r="B1251" s="117">
        <v>500750</v>
      </c>
    </row>
    <row r="1252" spans="2:2">
      <c r="B1252" s="115">
        <v>501115</v>
      </c>
    </row>
    <row r="1253" spans="2:2">
      <c r="B1253" s="116">
        <v>501481</v>
      </c>
    </row>
    <row r="1254" spans="2:2">
      <c r="B1254" s="115">
        <v>501846</v>
      </c>
    </row>
    <row r="1255" spans="2:2">
      <c r="B1255" s="116">
        <v>502211</v>
      </c>
    </row>
    <row r="1256" spans="2:2">
      <c r="B1256" s="115">
        <v>502576</v>
      </c>
    </row>
    <row r="1257" spans="2:2">
      <c r="B1257" s="116">
        <v>502942</v>
      </c>
    </row>
    <row r="1258" spans="2:2">
      <c r="B1258" s="115">
        <v>503307</v>
      </c>
    </row>
    <row r="1259" spans="2:2">
      <c r="B1259" s="116">
        <v>503672</v>
      </c>
    </row>
    <row r="1260" spans="2:2">
      <c r="B1260" s="115">
        <v>504037</v>
      </c>
    </row>
    <row r="1261" spans="2:2">
      <c r="B1261" s="117">
        <v>504403</v>
      </c>
    </row>
    <row r="1262" spans="2:2">
      <c r="B1262" s="115">
        <v>504768</v>
      </c>
    </row>
    <row r="1263" spans="2:2">
      <c r="B1263" s="117">
        <v>505133</v>
      </c>
    </row>
    <row r="1264" spans="2:2">
      <c r="B1264" s="115">
        <v>505498</v>
      </c>
    </row>
    <row r="1265" spans="2:2">
      <c r="B1265" s="116">
        <v>505864</v>
      </c>
    </row>
    <row r="1266" spans="2:2">
      <c r="B1266" s="115">
        <v>506229</v>
      </c>
    </row>
    <row r="1267" spans="2:2">
      <c r="B1267" s="116">
        <v>506594</v>
      </c>
    </row>
    <row r="1268" spans="2:2">
      <c r="B1268" s="115">
        <v>506959</v>
      </c>
    </row>
    <row r="1269" spans="2:2">
      <c r="B1269" s="116">
        <v>507325</v>
      </c>
    </row>
    <row r="1270" spans="2:2">
      <c r="B1270" s="115">
        <v>507690</v>
      </c>
    </row>
    <row r="1271" spans="2:2">
      <c r="B1271" s="116">
        <v>508055</v>
      </c>
    </row>
    <row r="1272" spans="2:2">
      <c r="B1272" s="115">
        <v>508420</v>
      </c>
    </row>
    <row r="1273" spans="2:2">
      <c r="B1273" s="117">
        <v>508786</v>
      </c>
    </row>
    <row r="1274" spans="2:2">
      <c r="B1274" s="115">
        <v>509151</v>
      </c>
    </row>
    <row r="1275" spans="2:2">
      <c r="B1275" s="117">
        <v>509516</v>
      </c>
    </row>
    <row r="1276" spans="2:2">
      <c r="B1276" s="115">
        <v>509881</v>
      </c>
    </row>
    <row r="1277" spans="2:2">
      <c r="B1277" s="116">
        <v>510247</v>
      </c>
    </row>
    <row r="1278" spans="2:2">
      <c r="B1278" s="115">
        <v>510612</v>
      </c>
    </row>
    <row r="1279" spans="2:2">
      <c r="B1279" s="116">
        <v>510977</v>
      </c>
    </row>
    <row r="1280" spans="2:2">
      <c r="B1280" s="115">
        <v>511342</v>
      </c>
    </row>
    <row r="1281" spans="2:2">
      <c r="B1281" s="116">
        <v>511707</v>
      </c>
    </row>
    <row r="1282" spans="2:2">
      <c r="B1282" s="115">
        <v>512072</v>
      </c>
    </row>
    <row r="1283" spans="2:2">
      <c r="B1283" s="116">
        <v>512437</v>
      </c>
    </row>
    <row r="1284" spans="2:2">
      <c r="B1284" s="115">
        <v>512802</v>
      </c>
    </row>
    <row r="1285" spans="2:2">
      <c r="B1285" s="117">
        <v>513168</v>
      </c>
    </row>
    <row r="1286" spans="2:2">
      <c r="B1286" s="115">
        <v>513533</v>
      </c>
    </row>
    <row r="1287" spans="2:2">
      <c r="B1287" s="117">
        <v>513898</v>
      </c>
    </row>
    <row r="1288" spans="2:2">
      <c r="B1288" s="115">
        <v>514263</v>
      </c>
    </row>
    <row r="1289" spans="2:2">
      <c r="B1289" s="116">
        <v>514629</v>
      </c>
    </row>
    <row r="1290" spans="2:2">
      <c r="B1290" s="115">
        <v>514994</v>
      </c>
    </row>
    <row r="1291" spans="2:2">
      <c r="B1291" s="116">
        <v>515359</v>
      </c>
    </row>
    <row r="1292" spans="2:2">
      <c r="B1292" s="115">
        <v>515724</v>
      </c>
    </row>
    <row r="1293" spans="2:2">
      <c r="B1293" s="116">
        <v>516090</v>
      </c>
    </row>
    <row r="1294" spans="2:2">
      <c r="B1294" s="115">
        <v>516455</v>
      </c>
    </row>
    <row r="1295" spans="2:2">
      <c r="B1295" s="116">
        <v>516820</v>
      </c>
    </row>
    <row r="1296" spans="2:2">
      <c r="B1296" s="115">
        <v>517185</v>
      </c>
    </row>
    <row r="1297" spans="2:2">
      <c r="B1297" s="117">
        <v>517551</v>
      </c>
    </row>
    <row r="1298" spans="2:2">
      <c r="B1298" s="115">
        <v>517916</v>
      </c>
    </row>
    <row r="1299" spans="2:2">
      <c r="B1299" s="117">
        <v>518281</v>
      </c>
    </row>
    <row r="1300" spans="2:2">
      <c r="B1300" s="115">
        <v>518646</v>
      </c>
    </row>
    <row r="1301" spans="2:2">
      <c r="B1301" s="116">
        <v>519012</v>
      </c>
    </row>
    <row r="1302" spans="2:2">
      <c r="B1302" s="115">
        <v>519377</v>
      </c>
    </row>
    <row r="1303" spans="2:2">
      <c r="B1303" s="116">
        <v>519742</v>
      </c>
    </row>
    <row r="1304" spans="2:2">
      <c r="B1304" s="115">
        <v>520107</v>
      </c>
    </row>
    <row r="1305" spans="2:2">
      <c r="B1305" s="116">
        <v>520473</v>
      </c>
    </row>
    <row r="1306" spans="2:2">
      <c r="B1306" s="115">
        <v>520838</v>
      </c>
    </row>
    <row r="1307" spans="2:2">
      <c r="B1307" s="116">
        <v>521203</v>
      </c>
    </row>
    <row r="1308" spans="2:2">
      <c r="B1308" s="115">
        <v>521568</v>
      </c>
    </row>
    <row r="1309" spans="2:2">
      <c r="B1309" s="117">
        <v>521934</v>
      </c>
    </row>
    <row r="1310" spans="2:2">
      <c r="B1310" s="115">
        <v>522299</v>
      </c>
    </row>
    <row r="1311" spans="2:2">
      <c r="B1311" s="117">
        <v>522664</v>
      </c>
    </row>
    <row r="1312" spans="2:2">
      <c r="B1312" s="115">
        <v>523029</v>
      </c>
    </row>
    <row r="1313" spans="2:2">
      <c r="B1313" s="116">
        <v>523395</v>
      </c>
    </row>
    <row r="1314" spans="2:2">
      <c r="B1314" s="115">
        <v>523760</v>
      </c>
    </row>
    <row r="1315" spans="2:2">
      <c r="B1315" s="116">
        <v>524125</v>
      </c>
    </row>
    <row r="1316" spans="2:2">
      <c r="B1316" s="115">
        <v>524490</v>
      </c>
    </row>
    <row r="1317" spans="2:2">
      <c r="B1317" s="116">
        <v>524856</v>
      </c>
    </row>
    <row r="1318" spans="2:2">
      <c r="B1318" s="115">
        <v>525221</v>
      </c>
    </row>
    <row r="1319" spans="2:2">
      <c r="B1319" s="116">
        <v>525586</v>
      </c>
    </row>
    <row r="1320" spans="2:2">
      <c r="B1320" s="115">
        <v>525951</v>
      </c>
    </row>
    <row r="1321" spans="2:2">
      <c r="B1321" s="117">
        <v>526317</v>
      </c>
    </row>
    <row r="1322" spans="2:2">
      <c r="B1322" s="115">
        <v>526682</v>
      </c>
    </row>
    <row r="1323" spans="2:2">
      <c r="B1323" s="117">
        <v>527047</v>
      </c>
    </row>
    <row r="1324" spans="2:2">
      <c r="B1324" s="115">
        <v>527412</v>
      </c>
    </row>
    <row r="1325" spans="2:2">
      <c r="B1325" s="116">
        <v>527778</v>
      </c>
    </row>
    <row r="1326" spans="2:2">
      <c r="B1326" s="115">
        <v>528143</v>
      </c>
    </row>
    <row r="1327" spans="2:2">
      <c r="B1327" s="116">
        <v>528508</v>
      </c>
    </row>
    <row r="1328" spans="2:2">
      <c r="B1328" s="115">
        <v>528873</v>
      </c>
    </row>
    <row r="1329" spans="2:2">
      <c r="B1329" s="116">
        <v>529239</v>
      </c>
    </row>
    <row r="1330" spans="2:2">
      <c r="B1330" s="115">
        <v>529604</v>
      </c>
    </row>
    <row r="1331" spans="2:2">
      <c r="B1331" s="116">
        <v>529969</v>
      </c>
    </row>
    <row r="1332" spans="2:2">
      <c r="B1332" s="115">
        <v>530334</v>
      </c>
    </row>
    <row r="1333" spans="2:2">
      <c r="B1333" s="117">
        <v>530700</v>
      </c>
    </row>
    <row r="1334" spans="2:2">
      <c r="B1334" s="115">
        <v>531065</v>
      </c>
    </row>
    <row r="1335" spans="2:2">
      <c r="B1335" s="117">
        <v>531430</v>
      </c>
    </row>
    <row r="1336" spans="2:2">
      <c r="B1336" s="115">
        <v>531795</v>
      </c>
    </row>
    <row r="1337" spans="2:2">
      <c r="B1337" s="116">
        <v>532161</v>
      </c>
    </row>
    <row r="1338" spans="2:2">
      <c r="B1338" s="115">
        <v>532526</v>
      </c>
    </row>
    <row r="1339" spans="2:2">
      <c r="B1339" s="116">
        <v>532891</v>
      </c>
    </row>
    <row r="1340" spans="2:2">
      <c r="B1340" s="115">
        <v>533256</v>
      </c>
    </row>
    <row r="1341" spans="2:2">
      <c r="B1341" s="116">
        <v>533622</v>
      </c>
    </row>
    <row r="1342" spans="2:2">
      <c r="B1342" s="115">
        <v>533987</v>
      </c>
    </row>
    <row r="1343" spans="2:2">
      <c r="B1343" s="116">
        <v>534352</v>
      </c>
    </row>
    <row r="1344" spans="2:2">
      <c r="B1344" s="115">
        <v>534717</v>
      </c>
    </row>
    <row r="1345" spans="2:2">
      <c r="B1345" s="117">
        <v>535083</v>
      </c>
    </row>
    <row r="1346" spans="2:2">
      <c r="B1346" s="115">
        <v>535448</v>
      </c>
    </row>
    <row r="1347" spans="2:2">
      <c r="B1347" s="117">
        <v>535813</v>
      </c>
    </row>
    <row r="1348" spans="2:2">
      <c r="B1348" s="115">
        <v>536178</v>
      </c>
    </row>
    <row r="1349" spans="2:2">
      <c r="B1349" s="116">
        <v>536544</v>
      </c>
    </row>
    <row r="1350" spans="2:2">
      <c r="B1350" s="115">
        <v>536909</v>
      </c>
    </row>
    <row r="1351" spans="2:2">
      <c r="B1351" s="116">
        <v>537274</v>
      </c>
    </row>
    <row r="1352" spans="2:2">
      <c r="B1352" s="115">
        <v>537639</v>
      </c>
    </row>
    <row r="1353" spans="2:2">
      <c r="B1353" s="116">
        <v>538005</v>
      </c>
    </row>
    <row r="1354" spans="2:2">
      <c r="B1354" s="115">
        <v>538370</v>
      </c>
    </row>
    <row r="1355" spans="2:2">
      <c r="B1355" s="116">
        <v>538735</v>
      </c>
    </row>
    <row r="1356" spans="2:2">
      <c r="B1356" s="115">
        <v>539100</v>
      </c>
    </row>
    <row r="1357" spans="2:2">
      <c r="B1357" s="117">
        <v>539466</v>
      </c>
    </row>
    <row r="1358" spans="2:2">
      <c r="B1358" s="115">
        <v>539831</v>
      </c>
    </row>
    <row r="1359" spans="2:2">
      <c r="B1359" s="117">
        <v>540196</v>
      </c>
    </row>
    <row r="1360" spans="2:2">
      <c r="B1360" s="115">
        <v>540561</v>
      </c>
    </row>
    <row r="1361" spans="2:2">
      <c r="B1361" s="116">
        <v>540927</v>
      </c>
    </row>
    <row r="1362" spans="2:2">
      <c r="B1362" s="115">
        <v>541292</v>
      </c>
    </row>
    <row r="1363" spans="2:2">
      <c r="B1363" s="116">
        <v>541657</v>
      </c>
    </row>
    <row r="1364" spans="2:2">
      <c r="B1364" s="115">
        <v>542022</v>
      </c>
    </row>
    <row r="1365" spans="2:2">
      <c r="B1365" s="116">
        <v>542388</v>
      </c>
    </row>
    <row r="1366" spans="2:2">
      <c r="B1366" s="115">
        <v>542753</v>
      </c>
    </row>
    <row r="1367" spans="2:2">
      <c r="B1367" s="116">
        <v>543118</v>
      </c>
    </row>
    <row r="1368" spans="2:2">
      <c r="B1368" s="115">
        <v>543483</v>
      </c>
    </row>
    <row r="1369" spans="2:2">
      <c r="B1369" s="117">
        <v>543849</v>
      </c>
    </row>
    <row r="1370" spans="2:2">
      <c r="B1370" s="115">
        <v>544214</v>
      </c>
    </row>
    <row r="1371" spans="2:2">
      <c r="B1371" s="117">
        <v>544579</v>
      </c>
    </row>
    <row r="1372" spans="2:2">
      <c r="B1372" s="115">
        <v>544944</v>
      </c>
    </row>
    <row r="1373" spans="2:2">
      <c r="B1373" s="116">
        <v>545310</v>
      </c>
    </row>
    <row r="1374" spans="2:2">
      <c r="B1374" s="115">
        <v>545675</v>
      </c>
    </row>
    <row r="1375" spans="2:2">
      <c r="B1375" s="116">
        <v>546040</v>
      </c>
    </row>
    <row r="1376" spans="2:2">
      <c r="B1376" s="115">
        <v>546405</v>
      </c>
    </row>
    <row r="1377" spans="2:2">
      <c r="B1377" s="116">
        <v>546771</v>
      </c>
    </row>
    <row r="1378" spans="2:2">
      <c r="B1378" s="115">
        <v>547136</v>
      </c>
    </row>
    <row r="1379" spans="2:2">
      <c r="B1379" s="116">
        <v>547501</v>
      </c>
    </row>
    <row r="1380" spans="2:2">
      <c r="B1380" s="115">
        <v>547866</v>
      </c>
    </row>
    <row r="1381" spans="2:2">
      <c r="B1381" s="117">
        <v>548231</v>
      </c>
    </row>
    <row r="1382" spans="2:2">
      <c r="B1382" s="115">
        <v>548596</v>
      </c>
    </row>
    <row r="1383" spans="2:2">
      <c r="B1383" s="117">
        <v>548961</v>
      </c>
    </row>
    <row r="1384" spans="2:2">
      <c r="B1384" s="115">
        <v>549326</v>
      </c>
    </row>
    <row r="1385" spans="2:2">
      <c r="B1385" s="116">
        <v>549692</v>
      </c>
    </row>
    <row r="1386" spans="2:2">
      <c r="B1386" s="115">
        <v>550057</v>
      </c>
    </row>
    <row r="1387" spans="2:2">
      <c r="B1387" s="116">
        <v>550422</v>
      </c>
    </row>
    <row r="1388" spans="2:2">
      <c r="B1388" s="115">
        <v>550787</v>
      </c>
    </row>
    <row r="1389" spans="2:2">
      <c r="B1389" s="116">
        <v>551153</v>
      </c>
    </row>
    <row r="1390" spans="2:2">
      <c r="B1390" s="115">
        <v>551518</v>
      </c>
    </row>
    <row r="1391" spans="2:2">
      <c r="B1391" s="116">
        <v>551883</v>
      </c>
    </row>
    <row r="1392" spans="2:2">
      <c r="B1392" s="115">
        <v>552248</v>
      </c>
    </row>
    <row r="1393" spans="2:2">
      <c r="B1393" s="117">
        <v>552614</v>
      </c>
    </row>
    <row r="1394" spans="2:2">
      <c r="B1394" s="115">
        <v>552979</v>
      </c>
    </row>
    <row r="1395" spans="2:2">
      <c r="B1395" s="117">
        <v>553344</v>
      </c>
    </row>
    <row r="1396" spans="2:2">
      <c r="B1396" s="115">
        <v>553709</v>
      </c>
    </row>
    <row r="1397" spans="2:2">
      <c r="B1397" s="116">
        <v>554075</v>
      </c>
    </row>
    <row r="1398" spans="2:2">
      <c r="B1398" s="115">
        <v>554440</v>
      </c>
    </row>
    <row r="1399" spans="2:2">
      <c r="B1399" s="116">
        <v>554805</v>
      </c>
    </row>
    <row r="1400" spans="2:2">
      <c r="B1400" s="115">
        <v>555170</v>
      </c>
    </row>
    <row r="1401" spans="2:2">
      <c r="B1401" s="116">
        <v>555536</v>
      </c>
    </row>
    <row r="1402" spans="2:2">
      <c r="B1402" s="115">
        <v>555901</v>
      </c>
    </row>
    <row r="1403" spans="2:2">
      <c r="B1403" s="116">
        <v>556266</v>
      </c>
    </row>
    <row r="1404" spans="2:2">
      <c r="B1404" s="115">
        <v>556631</v>
      </c>
    </row>
    <row r="1405" spans="2:2">
      <c r="B1405" s="117">
        <v>556997</v>
      </c>
    </row>
    <row r="1406" spans="2:2">
      <c r="B1406" s="115">
        <v>557362</v>
      </c>
    </row>
    <row r="1407" spans="2:2">
      <c r="B1407" s="117">
        <v>557727</v>
      </c>
    </row>
    <row r="1408" spans="2:2">
      <c r="B1408" s="115">
        <v>558092</v>
      </c>
    </row>
    <row r="1409" spans="2:2">
      <c r="B1409" s="116">
        <v>558458</v>
      </c>
    </row>
    <row r="1410" spans="2:2">
      <c r="B1410" s="115">
        <v>558823</v>
      </c>
    </row>
    <row r="1411" spans="2:2">
      <c r="B1411" s="116">
        <v>559188</v>
      </c>
    </row>
    <row r="1412" spans="2:2">
      <c r="B1412" s="115">
        <v>559553</v>
      </c>
    </row>
    <row r="1413" spans="2:2">
      <c r="B1413" s="116">
        <v>559919</v>
      </c>
    </row>
    <row r="1414" spans="2:2">
      <c r="B1414" s="115">
        <v>560284</v>
      </c>
    </row>
    <row r="1415" spans="2:2">
      <c r="B1415" s="116">
        <v>560649</v>
      </c>
    </row>
    <row r="1416" spans="2:2">
      <c r="B1416" s="115">
        <v>561014</v>
      </c>
    </row>
    <row r="1417" spans="2:2">
      <c r="B1417" s="117">
        <v>561380</v>
      </c>
    </row>
    <row r="1418" spans="2:2">
      <c r="B1418" s="115">
        <v>561745</v>
      </c>
    </row>
    <row r="1419" spans="2:2">
      <c r="B1419" s="117">
        <v>562110</v>
      </c>
    </row>
    <row r="1420" spans="2:2">
      <c r="B1420" s="115">
        <v>562475</v>
      </c>
    </row>
    <row r="1421" spans="2:2">
      <c r="B1421" s="116">
        <v>562841</v>
      </c>
    </row>
    <row r="1422" spans="2:2">
      <c r="B1422" s="115">
        <v>563206</v>
      </c>
    </row>
    <row r="1423" spans="2:2">
      <c r="B1423" s="116">
        <v>563571</v>
      </c>
    </row>
    <row r="1424" spans="2:2">
      <c r="B1424" s="115">
        <v>563936</v>
      </c>
    </row>
    <row r="1425" spans="2:2">
      <c r="B1425" s="116">
        <v>564302</v>
      </c>
    </row>
    <row r="1426" spans="2:2">
      <c r="B1426" s="115">
        <v>564667</v>
      </c>
    </row>
    <row r="1427" spans="2:2">
      <c r="B1427" s="116">
        <v>565032</v>
      </c>
    </row>
    <row r="1428" spans="2:2">
      <c r="B1428" s="115">
        <v>565397</v>
      </c>
    </row>
    <row r="1429" spans="2:2">
      <c r="B1429" s="117">
        <v>565763</v>
      </c>
    </row>
    <row r="1430" spans="2:2">
      <c r="B1430" s="115">
        <v>566128</v>
      </c>
    </row>
    <row r="1431" spans="2:2">
      <c r="B1431" s="117">
        <v>566493</v>
      </c>
    </row>
    <row r="1432" spans="2:2">
      <c r="B1432" s="115">
        <v>566858</v>
      </c>
    </row>
    <row r="1433" spans="2:2">
      <c r="B1433" s="116">
        <v>567224</v>
      </c>
    </row>
    <row r="1434" spans="2:2">
      <c r="B1434" s="115">
        <v>567589</v>
      </c>
    </row>
    <row r="1435" spans="2:2">
      <c r="B1435" s="116">
        <v>567954</v>
      </c>
    </row>
    <row r="1436" spans="2:2">
      <c r="B1436" s="115">
        <v>568319</v>
      </c>
    </row>
    <row r="1437" spans="2:2">
      <c r="B1437" s="116">
        <v>568685</v>
      </c>
    </row>
    <row r="1438" spans="2:2">
      <c r="B1438" s="115">
        <v>569050</v>
      </c>
    </row>
    <row r="1439" spans="2:2">
      <c r="B1439" s="116">
        <v>569415</v>
      </c>
    </row>
    <row r="1440" spans="2:2">
      <c r="B1440" s="115">
        <v>569780</v>
      </c>
    </row>
    <row r="1441" spans="2:2">
      <c r="B1441" s="117">
        <v>570146</v>
      </c>
    </row>
    <row r="1442" spans="2:2">
      <c r="B1442" s="115">
        <v>570511</v>
      </c>
    </row>
    <row r="1443" spans="2:2">
      <c r="B1443" s="117">
        <v>570876</v>
      </c>
    </row>
    <row r="1444" spans="2:2">
      <c r="B1444" s="115">
        <v>571241</v>
      </c>
    </row>
    <row r="1445" spans="2:2">
      <c r="B1445" s="116">
        <v>571607</v>
      </c>
    </row>
    <row r="1446" spans="2:2">
      <c r="B1446" s="115">
        <v>571972</v>
      </c>
    </row>
    <row r="1447" spans="2:2">
      <c r="B1447" s="116">
        <v>572337</v>
      </c>
    </row>
    <row r="1448" spans="2:2">
      <c r="B1448" s="115">
        <v>572702</v>
      </c>
    </row>
    <row r="1449" spans="2:2">
      <c r="B1449" s="116">
        <v>573068</v>
      </c>
    </row>
    <row r="1450" spans="2:2">
      <c r="B1450" s="115">
        <v>573433</v>
      </c>
    </row>
    <row r="1451" spans="2:2">
      <c r="B1451" s="116">
        <v>573798</v>
      </c>
    </row>
    <row r="1452" spans="2:2">
      <c r="B1452" s="115">
        <v>574163</v>
      </c>
    </row>
    <row r="1453" spans="2:2">
      <c r="B1453" s="117">
        <v>574529</v>
      </c>
    </row>
    <row r="1454" spans="2:2">
      <c r="B1454" s="115">
        <v>574894</v>
      </c>
    </row>
    <row r="1455" spans="2:2">
      <c r="B1455" s="117">
        <v>575259</v>
      </c>
    </row>
    <row r="1456" spans="2:2">
      <c r="B1456" s="115">
        <v>575624</v>
      </c>
    </row>
    <row r="1457" spans="2:2">
      <c r="B1457" s="116">
        <v>575990</v>
      </c>
    </row>
    <row r="1458" spans="2:2">
      <c r="B1458" s="115">
        <v>576355</v>
      </c>
    </row>
    <row r="1459" spans="2:2">
      <c r="B1459" s="116">
        <v>576720</v>
      </c>
    </row>
    <row r="1460" spans="2:2">
      <c r="B1460" s="115">
        <v>577085</v>
      </c>
    </row>
    <row r="1461" spans="2:2">
      <c r="B1461" s="116">
        <v>577451</v>
      </c>
    </row>
    <row r="1462" spans="2:2">
      <c r="B1462" s="115">
        <v>577816</v>
      </c>
    </row>
    <row r="1463" spans="2:2">
      <c r="B1463" s="116">
        <v>578181</v>
      </c>
    </row>
    <row r="1464" spans="2:2">
      <c r="B1464" s="115">
        <v>578546</v>
      </c>
    </row>
    <row r="1465" spans="2:2">
      <c r="B1465" s="117">
        <v>578912</v>
      </c>
    </row>
    <row r="1466" spans="2:2">
      <c r="B1466" s="115">
        <v>579277</v>
      </c>
    </row>
    <row r="1467" spans="2:2">
      <c r="B1467" s="117">
        <v>579642</v>
      </c>
    </row>
    <row r="1468" spans="2:2">
      <c r="B1468" s="115">
        <v>580007</v>
      </c>
    </row>
    <row r="1469" spans="2:2">
      <c r="B1469" s="116">
        <v>580373</v>
      </c>
    </row>
    <row r="1470" spans="2:2">
      <c r="B1470" s="115">
        <v>580738</v>
      </c>
    </row>
    <row r="1471" spans="2:2">
      <c r="B1471" s="116">
        <v>581103</v>
      </c>
    </row>
    <row r="1472" spans="2:2">
      <c r="B1472" s="115">
        <v>581468</v>
      </c>
    </row>
    <row r="1473" spans="2:2">
      <c r="B1473" s="116">
        <v>581834</v>
      </c>
    </row>
    <row r="1474" spans="2:2">
      <c r="B1474" s="115">
        <v>582199</v>
      </c>
    </row>
    <row r="1475" spans="2:2">
      <c r="B1475" s="116">
        <v>582564</v>
      </c>
    </row>
    <row r="1476" spans="2:2">
      <c r="B1476" s="115">
        <v>582929</v>
      </c>
    </row>
    <row r="1477" spans="2:2">
      <c r="B1477" s="117">
        <v>583295</v>
      </c>
    </row>
    <row r="1478" spans="2:2">
      <c r="B1478" s="115">
        <v>583660</v>
      </c>
    </row>
    <row r="1479" spans="2:2">
      <c r="B1479" s="117">
        <v>584025</v>
      </c>
    </row>
    <row r="1480" spans="2:2">
      <c r="B1480" s="115">
        <v>584390</v>
      </c>
    </row>
    <row r="1481" spans="2:2">
      <c r="B1481" s="116">
        <v>584755</v>
      </c>
    </row>
    <row r="1482" spans="2:2">
      <c r="B1482" s="115">
        <v>585120</v>
      </c>
    </row>
    <row r="1483" spans="2:2">
      <c r="B1483" s="116">
        <v>585485</v>
      </c>
    </row>
    <row r="1484" spans="2:2">
      <c r="B1484" s="115">
        <v>585850</v>
      </c>
    </row>
    <row r="1485" spans="2:2">
      <c r="B1485" s="116">
        <v>586216</v>
      </c>
    </row>
    <row r="1486" spans="2:2">
      <c r="B1486" s="115">
        <v>586581</v>
      </c>
    </row>
    <row r="1487" spans="2:2">
      <c r="B1487" s="116">
        <v>586946</v>
      </c>
    </row>
    <row r="1488" spans="2:2">
      <c r="B1488" s="115">
        <v>587311</v>
      </c>
    </row>
    <row r="1489" spans="2:2">
      <c r="B1489" s="117">
        <v>587677</v>
      </c>
    </row>
    <row r="1490" spans="2:2">
      <c r="B1490" s="115">
        <v>588042</v>
      </c>
    </row>
    <row r="1491" spans="2:2">
      <c r="B1491" s="117">
        <v>588407</v>
      </c>
    </row>
    <row r="1492" spans="2:2">
      <c r="B1492" s="115">
        <v>588772</v>
      </c>
    </row>
    <row r="1493" spans="2:2">
      <c r="B1493" s="116">
        <v>589138</v>
      </c>
    </row>
    <row r="1494" spans="2:2">
      <c r="B1494" s="115">
        <v>589503</v>
      </c>
    </row>
    <row r="1495" spans="2:2">
      <c r="B1495" s="116">
        <v>589868</v>
      </c>
    </row>
    <row r="1496" spans="2:2">
      <c r="B1496" s="115">
        <v>590233</v>
      </c>
    </row>
    <row r="1497" spans="2:2">
      <c r="B1497" s="116">
        <v>590599</v>
      </c>
    </row>
    <row r="1498" spans="2:2">
      <c r="B1498" s="115">
        <v>590964</v>
      </c>
    </row>
    <row r="1499" spans="2:2">
      <c r="B1499" s="116">
        <v>591329</v>
      </c>
    </row>
    <row r="1500" spans="2:2">
      <c r="B1500" s="115">
        <v>591694</v>
      </c>
    </row>
    <row r="1501" spans="2:2">
      <c r="B1501" s="117">
        <v>592060</v>
      </c>
    </row>
    <row r="1502" spans="2:2">
      <c r="B1502" s="115">
        <v>592425</v>
      </c>
    </row>
    <row r="1503" spans="2:2">
      <c r="B1503" s="117">
        <v>592790</v>
      </c>
    </row>
    <row r="1504" spans="2:2">
      <c r="B1504" s="115">
        <v>593155</v>
      </c>
    </row>
    <row r="1505" spans="2:2">
      <c r="B1505" s="116">
        <v>593521</v>
      </c>
    </row>
    <row r="1506" spans="2:2">
      <c r="B1506" s="115">
        <v>593886</v>
      </c>
    </row>
    <row r="1507" spans="2:2">
      <c r="B1507" s="116">
        <v>594251</v>
      </c>
    </row>
    <row r="1508" spans="2:2">
      <c r="B1508" s="115">
        <v>594616</v>
      </c>
    </row>
    <row r="1509" spans="2:2">
      <c r="B1509" s="116">
        <v>594982</v>
      </c>
    </row>
    <row r="1510" spans="2:2">
      <c r="B1510" s="115">
        <v>595347</v>
      </c>
    </row>
    <row r="1511" spans="2:2">
      <c r="B1511" s="116">
        <v>595712</v>
      </c>
    </row>
    <row r="1512" spans="2:2">
      <c r="B1512" s="115">
        <v>596077</v>
      </c>
    </row>
    <row r="1513" spans="2:2">
      <c r="B1513" s="117">
        <v>596443</v>
      </c>
    </row>
    <row r="1514" spans="2:2">
      <c r="B1514" s="115">
        <v>596808</v>
      </c>
    </row>
    <row r="1515" spans="2:2">
      <c r="B1515" s="117">
        <v>597173</v>
      </c>
    </row>
    <row r="1516" spans="2:2">
      <c r="B1516" s="115">
        <v>597538</v>
      </c>
    </row>
    <row r="1517" spans="2:2">
      <c r="B1517" s="116">
        <v>597904</v>
      </c>
    </row>
    <row r="1518" spans="2:2">
      <c r="B1518" s="115">
        <v>598269</v>
      </c>
    </row>
    <row r="1519" spans="2:2">
      <c r="B1519" s="116">
        <v>598634</v>
      </c>
    </row>
    <row r="1520" spans="2:2">
      <c r="B1520" s="115">
        <v>598999</v>
      </c>
    </row>
    <row r="1521" spans="2:2">
      <c r="B1521" s="116">
        <v>599365</v>
      </c>
    </row>
    <row r="1522" spans="2:2">
      <c r="B1522" s="115">
        <v>599730</v>
      </c>
    </row>
    <row r="1523" spans="2:2">
      <c r="B1523" s="116">
        <v>600095</v>
      </c>
    </row>
    <row r="1524" spans="2:2">
      <c r="B1524" s="115">
        <v>600460</v>
      </c>
    </row>
    <row r="1525" spans="2:2">
      <c r="B1525" s="117">
        <v>600826</v>
      </c>
    </row>
    <row r="1526" spans="2:2">
      <c r="B1526" s="115">
        <v>601191</v>
      </c>
    </row>
    <row r="1527" spans="2:2">
      <c r="B1527" s="117">
        <v>601556</v>
      </c>
    </row>
    <row r="1528" spans="2:2">
      <c r="B1528" s="115">
        <v>601921</v>
      </c>
    </row>
    <row r="1529" spans="2:2">
      <c r="B1529" s="116">
        <v>602287</v>
      </c>
    </row>
    <row r="1530" spans="2:2">
      <c r="B1530" s="115">
        <v>602652</v>
      </c>
    </row>
    <row r="1531" spans="2:2">
      <c r="B1531" s="116">
        <v>603017</v>
      </c>
    </row>
    <row r="1532" spans="2:2">
      <c r="B1532" s="115">
        <v>603382</v>
      </c>
    </row>
    <row r="1533" spans="2:2">
      <c r="B1533" s="116">
        <v>603748</v>
      </c>
    </row>
    <row r="1534" spans="2:2">
      <c r="B1534" s="115">
        <v>604113</v>
      </c>
    </row>
    <row r="1535" spans="2:2">
      <c r="B1535" s="116">
        <v>604478</v>
      </c>
    </row>
    <row r="1536" spans="2:2">
      <c r="B1536" s="115">
        <v>604843</v>
      </c>
    </row>
    <row r="1537" spans="2:2">
      <c r="B1537" s="117">
        <v>605209</v>
      </c>
    </row>
    <row r="1538" spans="2:2">
      <c r="B1538" s="115">
        <v>605574</v>
      </c>
    </row>
    <row r="1539" spans="2:2">
      <c r="B1539" s="117">
        <v>605939</v>
      </c>
    </row>
    <row r="1540" spans="2:2">
      <c r="B1540" s="115">
        <v>606304</v>
      </c>
    </row>
    <row r="1541" spans="2:2">
      <c r="B1541" s="116">
        <v>606670</v>
      </c>
    </row>
    <row r="1542" spans="2:2">
      <c r="B1542" s="115">
        <v>607035</v>
      </c>
    </row>
    <row r="1543" spans="2:2">
      <c r="B1543" s="116">
        <v>607400</v>
      </c>
    </row>
    <row r="1544" spans="2:2">
      <c r="B1544" s="115">
        <v>607765</v>
      </c>
    </row>
    <row r="1545" spans="2:2">
      <c r="B1545" s="116">
        <v>608131</v>
      </c>
    </row>
    <row r="1546" spans="2:2">
      <c r="B1546" s="115">
        <v>608496</v>
      </c>
    </row>
    <row r="1547" spans="2:2">
      <c r="B1547" s="116">
        <v>608861</v>
      </c>
    </row>
    <row r="1548" spans="2:2">
      <c r="B1548" s="115">
        <v>609226</v>
      </c>
    </row>
    <row r="1549" spans="2:2">
      <c r="B1549" s="117">
        <v>609592</v>
      </c>
    </row>
    <row r="1550" spans="2:2">
      <c r="B1550" s="115">
        <v>609957</v>
      </c>
    </row>
    <row r="1551" spans="2:2">
      <c r="B1551" s="117">
        <v>610322</v>
      </c>
    </row>
    <row r="1552" spans="2:2">
      <c r="B1552" s="115">
        <v>610687</v>
      </c>
    </row>
    <row r="1553" spans="2:2">
      <c r="B1553" s="116">
        <v>611053</v>
      </c>
    </row>
    <row r="1554" spans="2:2">
      <c r="B1554" s="115">
        <v>611418</v>
      </c>
    </row>
    <row r="1555" spans="2:2">
      <c r="B1555" s="116">
        <v>611783</v>
      </c>
    </row>
    <row r="1556" spans="2:2">
      <c r="B1556" s="115">
        <v>612148</v>
      </c>
    </row>
    <row r="1557" spans="2:2">
      <c r="B1557" s="116">
        <v>612514</v>
      </c>
    </row>
    <row r="1558" spans="2:2">
      <c r="B1558" s="115">
        <v>612879</v>
      </c>
    </row>
    <row r="1559" spans="2:2">
      <c r="B1559" s="116">
        <v>613244</v>
      </c>
    </row>
    <row r="1560" spans="2:2">
      <c r="B1560" s="115">
        <v>613609</v>
      </c>
    </row>
    <row r="1561" spans="2:2">
      <c r="B1561" s="117">
        <v>613975</v>
      </c>
    </row>
    <row r="1562" spans="2:2">
      <c r="B1562" s="115">
        <v>614340</v>
      </c>
    </row>
    <row r="1563" spans="2:2">
      <c r="B1563" s="117">
        <v>614705</v>
      </c>
    </row>
    <row r="1564" spans="2:2">
      <c r="B1564" s="115">
        <v>615070</v>
      </c>
    </row>
    <row r="1565" spans="2:2">
      <c r="B1565" s="116">
        <v>615436</v>
      </c>
    </row>
    <row r="1566" spans="2:2">
      <c r="B1566" s="115">
        <v>615801</v>
      </c>
    </row>
    <row r="1567" spans="2:2">
      <c r="B1567" s="116">
        <v>616166</v>
      </c>
    </row>
    <row r="1568" spans="2:2">
      <c r="B1568" s="115">
        <v>616531</v>
      </c>
    </row>
    <row r="1569" spans="2:2">
      <c r="B1569" s="116">
        <v>616897</v>
      </c>
    </row>
    <row r="1570" spans="2:2">
      <c r="B1570" s="115">
        <v>617262</v>
      </c>
    </row>
    <row r="1571" spans="2:2">
      <c r="B1571" s="116">
        <v>617627</v>
      </c>
    </row>
    <row r="1572" spans="2:2">
      <c r="B1572" s="115">
        <v>617992</v>
      </c>
    </row>
    <row r="1573" spans="2:2">
      <c r="B1573" s="117">
        <v>618358</v>
      </c>
    </row>
    <row r="1574" spans="2:2">
      <c r="B1574" s="115">
        <v>618723</v>
      </c>
    </row>
    <row r="1575" spans="2:2">
      <c r="B1575" s="117">
        <v>619088</v>
      </c>
    </row>
    <row r="1576" spans="2:2">
      <c r="B1576" s="115">
        <v>619453</v>
      </c>
    </row>
    <row r="1577" spans="2:2">
      <c r="B1577" s="116">
        <v>619819</v>
      </c>
    </row>
    <row r="1578" spans="2:2">
      <c r="B1578" s="115">
        <v>620184</v>
      </c>
    </row>
    <row r="1579" spans="2:2">
      <c r="B1579" s="116">
        <v>620549</v>
      </c>
    </row>
    <row r="1580" spans="2:2">
      <c r="B1580" s="115">
        <v>620914</v>
      </c>
    </row>
    <row r="1581" spans="2:2">
      <c r="B1581" s="116">
        <v>621280</v>
      </c>
    </row>
    <row r="1582" spans="2:2">
      <c r="B1582" s="115">
        <v>621645</v>
      </c>
    </row>
    <row r="1583" spans="2:2">
      <c r="B1583" s="116">
        <v>622010</v>
      </c>
    </row>
    <row r="1584" spans="2:2">
      <c r="B1584" s="115">
        <v>622375</v>
      </c>
    </row>
    <row r="1585" spans="2:2">
      <c r="B1585" s="117">
        <v>622741</v>
      </c>
    </row>
    <row r="1586" spans="2:2">
      <c r="B1586" s="115">
        <v>623106</v>
      </c>
    </row>
    <row r="1587" spans="2:2">
      <c r="B1587" s="117">
        <v>623471</v>
      </c>
    </row>
    <row r="1588" spans="2:2">
      <c r="B1588" s="115">
        <v>623836</v>
      </c>
    </row>
    <row r="1589" spans="2:2">
      <c r="B1589" s="116">
        <v>624202</v>
      </c>
    </row>
    <row r="1590" spans="2:2">
      <c r="B1590" s="115">
        <v>624567</v>
      </c>
    </row>
    <row r="1591" spans="2:2">
      <c r="B1591" s="116">
        <v>624932</v>
      </c>
    </row>
    <row r="1592" spans="2:2">
      <c r="B1592" s="115">
        <v>625297</v>
      </c>
    </row>
    <row r="1593" spans="2:2">
      <c r="B1593" s="116">
        <v>625663</v>
      </c>
    </row>
    <row r="1594" spans="2:2">
      <c r="B1594" s="115">
        <v>626028</v>
      </c>
    </row>
    <row r="1595" spans="2:2">
      <c r="B1595" s="116">
        <v>626393</v>
      </c>
    </row>
    <row r="1596" spans="2:2">
      <c r="B1596" s="115">
        <v>626758</v>
      </c>
    </row>
    <row r="1597" spans="2:2">
      <c r="B1597" s="117">
        <v>627124</v>
      </c>
    </row>
    <row r="1598" spans="2:2">
      <c r="B1598" s="115">
        <v>627489</v>
      </c>
    </row>
    <row r="1599" spans="2:2">
      <c r="B1599" s="117">
        <v>627854</v>
      </c>
    </row>
    <row r="1600" spans="2:2">
      <c r="B1600" s="115">
        <v>628219</v>
      </c>
    </row>
    <row r="1601" spans="2:2">
      <c r="B1601" s="116">
        <v>628585</v>
      </c>
    </row>
    <row r="1602" spans="2:2">
      <c r="B1602" s="115">
        <v>628950</v>
      </c>
    </row>
    <row r="1603" spans="2:2">
      <c r="B1603" s="116">
        <v>629315</v>
      </c>
    </row>
    <row r="1604" spans="2:2">
      <c r="B1604" s="115">
        <v>629680</v>
      </c>
    </row>
    <row r="1605" spans="2:2">
      <c r="B1605" s="116">
        <v>630046</v>
      </c>
    </row>
    <row r="1606" spans="2:2">
      <c r="B1606" s="115">
        <v>630411</v>
      </c>
    </row>
    <row r="1607" spans="2:2">
      <c r="B1607" s="116">
        <v>630776</v>
      </c>
    </row>
    <row r="1608" spans="2:2">
      <c r="B1608" s="115">
        <v>631141</v>
      </c>
    </row>
    <row r="1609" spans="2:2">
      <c r="B1609" s="117">
        <v>631507</v>
      </c>
    </row>
    <row r="1610" spans="2:2">
      <c r="B1610" s="115">
        <v>631872</v>
      </c>
    </row>
    <row r="1611" spans="2:2">
      <c r="B1611" s="117">
        <v>632237</v>
      </c>
    </row>
    <row r="1612" spans="2:2">
      <c r="B1612" s="115">
        <v>632602</v>
      </c>
    </row>
    <row r="1613" spans="2:2">
      <c r="B1613" s="116">
        <v>632968</v>
      </c>
    </row>
    <row r="1614" spans="2:2">
      <c r="B1614" s="115">
        <v>633333</v>
      </c>
    </row>
    <row r="1615" spans="2:2">
      <c r="B1615" s="116">
        <v>633698</v>
      </c>
    </row>
    <row r="1616" spans="2:2">
      <c r="B1616" s="115">
        <v>634063</v>
      </c>
    </row>
    <row r="1617" spans="2:2">
      <c r="B1617" s="116">
        <v>634429</v>
      </c>
    </row>
    <row r="1618" spans="2:2">
      <c r="B1618" s="115">
        <v>634794</v>
      </c>
    </row>
    <row r="1619" spans="2:2">
      <c r="B1619" s="116">
        <v>635159</v>
      </c>
    </row>
    <row r="1620" spans="2:2">
      <c r="B1620" s="115">
        <v>635524</v>
      </c>
    </row>
    <row r="1621" spans="2:2">
      <c r="B1621" s="117">
        <v>635890</v>
      </c>
    </row>
    <row r="1622" spans="2:2">
      <c r="B1622" s="115">
        <v>636255</v>
      </c>
    </row>
    <row r="1623" spans="2:2">
      <c r="B1623" s="117">
        <v>636620</v>
      </c>
    </row>
    <row r="1624" spans="2:2">
      <c r="B1624" s="115">
        <v>636985</v>
      </c>
    </row>
    <row r="1625" spans="2:2">
      <c r="B1625" s="116">
        <v>637351</v>
      </c>
    </row>
    <row r="1626" spans="2:2">
      <c r="B1626" s="115">
        <v>637716</v>
      </c>
    </row>
    <row r="1627" spans="2:2">
      <c r="B1627" s="116">
        <v>638081</v>
      </c>
    </row>
    <row r="1628" spans="2:2">
      <c r="B1628" s="115">
        <v>638446</v>
      </c>
    </row>
    <row r="1629" spans="2:2">
      <c r="B1629" s="116">
        <v>638812</v>
      </c>
    </row>
    <row r="1630" spans="2:2">
      <c r="B1630" s="115">
        <v>639177</v>
      </c>
    </row>
    <row r="1631" spans="2:2">
      <c r="B1631" s="116">
        <v>639542</v>
      </c>
    </row>
    <row r="1632" spans="2:2">
      <c r="B1632" s="115">
        <v>639907</v>
      </c>
    </row>
    <row r="1633" spans="2:2">
      <c r="B1633" s="117">
        <v>640273</v>
      </c>
    </row>
    <row r="1634" spans="2:2">
      <c r="B1634" s="115">
        <v>640638</v>
      </c>
    </row>
    <row r="1635" spans="2:2">
      <c r="B1635" s="117">
        <v>641003</v>
      </c>
    </row>
    <row r="1636" spans="2:2">
      <c r="B1636" s="115">
        <v>641368</v>
      </c>
    </row>
    <row r="1637" spans="2:2">
      <c r="B1637" s="116">
        <v>641734</v>
      </c>
    </row>
    <row r="1638" spans="2:2">
      <c r="B1638" s="115">
        <v>642099</v>
      </c>
    </row>
    <row r="1639" spans="2:2">
      <c r="B1639" s="116">
        <v>642464</v>
      </c>
    </row>
    <row r="1640" spans="2:2">
      <c r="B1640" s="115">
        <v>642829</v>
      </c>
    </row>
    <row r="1641" spans="2:2">
      <c r="B1641" s="116">
        <v>643195</v>
      </c>
    </row>
    <row r="1642" spans="2:2">
      <c r="B1642" s="115">
        <v>643560</v>
      </c>
    </row>
    <row r="1643" spans="2:2">
      <c r="B1643" s="116">
        <v>643925</v>
      </c>
    </row>
    <row r="1644" spans="2:2">
      <c r="B1644" s="115">
        <v>644290</v>
      </c>
    </row>
    <row r="1645" spans="2:2">
      <c r="B1645" s="117">
        <v>644656</v>
      </c>
    </row>
    <row r="1646" spans="2:2">
      <c r="B1646" s="115">
        <v>645021</v>
      </c>
    </row>
    <row r="1647" spans="2:2">
      <c r="B1647" s="117">
        <v>645386</v>
      </c>
    </row>
    <row r="1648" spans="2:2">
      <c r="B1648" s="115">
        <v>645751</v>
      </c>
    </row>
    <row r="1649" spans="2:2">
      <c r="B1649" s="116">
        <v>646117</v>
      </c>
    </row>
    <row r="1650" spans="2:2">
      <c r="B1650" s="115">
        <v>646482</v>
      </c>
    </row>
    <row r="1651" spans="2:2">
      <c r="B1651" s="116">
        <v>646847</v>
      </c>
    </row>
    <row r="1652" spans="2:2">
      <c r="B1652" s="115">
        <v>647212</v>
      </c>
    </row>
    <row r="1653" spans="2:2">
      <c r="B1653" s="116">
        <v>647578</v>
      </c>
    </row>
    <row r="1654" spans="2:2">
      <c r="B1654" s="115">
        <v>647943</v>
      </c>
    </row>
    <row r="1655" spans="2:2">
      <c r="B1655" s="116">
        <v>648308</v>
      </c>
    </row>
    <row r="1656" spans="2:2">
      <c r="B1656" s="115">
        <v>648673</v>
      </c>
    </row>
    <row r="1657" spans="2:2">
      <c r="B1657" s="117">
        <v>649039</v>
      </c>
    </row>
    <row r="1658" spans="2:2">
      <c r="B1658" s="115">
        <v>649404</v>
      </c>
    </row>
    <row r="1659" spans="2:2">
      <c r="B1659" s="117">
        <v>649769</v>
      </c>
    </row>
    <row r="1660" spans="2:2">
      <c r="B1660" s="115">
        <v>650134</v>
      </c>
    </row>
    <row r="1661" spans="2:2">
      <c r="B1661" s="116">
        <v>650500</v>
      </c>
    </row>
    <row r="1662" spans="2:2">
      <c r="B1662" s="115">
        <v>650865</v>
      </c>
    </row>
    <row r="1663" spans="2:2">
      <c r="B1663" s="116">
        <v>651230</v>
      </c>
    </row>
    <row r="1664" spans="2:2">
      <c r="B1664" s="115">
        <v>651595</v>
      </c>
    </row>
    <row r="1665" spans="2:2">
      <c r="B1665" s="116">
        <v>651961</v>
      </c>
    </row>
    <row r="1666" spans="2:2">
      <c r="B1666" s="115">
        <v>652326</v>
      </c>
    </row>
    <row r="1667" spans="2:2">
      <c r="B1667" s="116">
        <v>652691</v>
      </c>
    </row>
    <row r="1668" spans="2:2">
      <c r="B1668" s="115">
        <v>653056</v>
      </c>
    </row>
    <row r="1669" spans="2:2">
      <c r="B1669" s="117">
        <v>653422</v>
      </c>
    </row>
    <row r="1670" spans="2:2">
      <c r="B1670" s="115">
        <v>653787</v>
      </c>
    </row>
    <row r="1671" spans="2:2">
      <c r="B1671" s="117">
        <v>654152</v>
      </c>
    </row>
    <row r="1672" spans="2:2">
      <c r="B1672" s="115">
        <v>654517</v>
      </c>
    </row>
    <row r="1673" spans="2:2">
      <c r="B1673" s="116">
        <v>654883</v>
      </c>
    </row>
    <row r="1674" spans="2:2">
      <c r="B1674" s="115">
        <v>655248</v>
      </c>
    </row>
    <row r="1675" spans="2:2">
      <c r="B1675" s="116">
        <v>655613</v>
      </c>
    </row>
    <row r="1676" spans="2:2">
      <c r="B1676" s="115">
        <v>655978</v>
      </c>
    </row>
    <row r="1677" spans="2:2">
      <c r="B1677" s="116">
        <v>656344</v>
      </c>
    </row>
    <row r="1678" spans="2:2">
      <c r="B1678" s="115">
        <v>656709</v>
      </c>
    </row>
    <row r="1679" spans="2:2">
      <c r="B1679" s="116">
        <v>657074</v>
      </c>
    </row>
    <row r="1680" spans="2:2">
      <c r="B1680" s="115">
        <v>657439</v>
      </c>
    </row>
    <row r="1681" spans="2:2">
      <c r="B1681" s="117">
        <v>657804</v>
      </c>
    </row>
    <row r="1682" spans="2:2">
      <c r="B1682" s="115">
        <v>658169</v>
      </c>
    </row>
    <row r="1683" spans="2:2">
      <c r="B1683" s="117">
        <v>658534</v>
      </c>
    </row>
    <row r="1684" spans="2:2">
      <c r="B1684" s="115">
        <v>658899</v>
      </c>
    </row>
    <row r="1685" spans="2:2">
      <c r="B1685" s="116">
        <v>659265</v>
      </c>
    </row>
    <row r="1686" spans="2:2">
      <c r="B1686" s="115">
        <v>659630</v>
      </c>
    </row>
    <row r="1687" spans="2:2">
      <c r="B1687" s="116">
        <v>659995</v>
      </c>
    </row>
    <row r="1688" spans="2:2">
      <c r="B1688" s="115">
        <v>660360</v>
      </c>
    </row>
    <row r="1689" spans="2:2">
      <c r="B1689" s="116">
        <v>660726</v>
      </c>
    </row>
    <row r="1690" spans="2:2">
      <c r="B1690" s="115">
        <v>661091</v>
      </c>
    </row>
    <row r="1691" spans="2:2">
      <c r="B1691" s="116">
        <v>661456</v>
      </c>
    </row>
    <row r="1692" spans="2:2">
      <c r="B1692" s="115">
        <v>661821</v>
      </c>
    </row>
    <row r="1693" spans="2:2">
      <c r="B1693" s="117">
        <v>662187</v>
      </c>
    </row>
    <row r="1694" spans="2:2">
      <c r="B1694" s="115">
        <v>662552</v>
      </c>
    </row>
    <row r="1695" spans="2:2">
      <c r="B1695" s="117">
        <v>662917</v>
      </c>
    </row>
    <row r="1696" spans="2:2">
      <c r="B1696" s="115">
        <v>663282</v>
      </c>
    </row>
    <row r="1697" spans="2:2">
      <c r="B1697" s="116">
        <v>663648</v>
      </c>
    </row>
    <row r="1698" spans="2:2">
      <c r="B1698" s="115">
        <v>664013</v>
      </c>
    </row>
    <row r="1699" spans="2:2">
      <c r="B1699" s="116">
        <v>664378</v>
      </c>
    </row>
    <row r="1700" spans="2:2">
      <c r="B1700" s="115">
        <v>664743</v>
      </c>
    </row>
    <row r="1701" spans="2:2">
      <c r="B1701" s="116">
        <v>665109</v>
      </c>
    </row>
    <row r="1702" spans="2:2">
      <c r="B1702" s="115">
        <v>665474</v>
      </c>
    </row>
    <row r="1703" spans="2:2">
      <c r="B1703" s="116">
        <v>665839</v>
      </c>
    </row>
    <row r="1704" spans="2:2">
      <c r="B1704" s="115">
        <v>666204</v>
      </c>
    </row>
    <row r="1705" spans="2:2">
      <c r="B1705" s="117">
        <v>666570</v>
      </c>
    </row>
    <row r="1706" spans="2:2">
      <c r="B1706" s="115">
        <v>666935</v>
      </c>
    </row>
    <row r="1707" spans="2:2">
      <c r="B1707" s="117">
        <v>667300</v>
      </c>
    </row>
    <row r="1708" spans="2:2">
      <c r="B1708" s="115">
        <v>667665</v>
      </c>
    </row>
    <row r="1709" spans="2:2">
      <c r="B1709" s="116">
        <v>668031</v>
      </c>
    </row>
    <row r="1710" spans="2:2">
      <c r="B1710" s="115">
        <v>668396</v>
      </c>
    </row>
    <row r="1711" spans="2:2">
      <c r="B1711" s="116">
        <v>668761</v>
      </c>
    </row>
    <row r="1712" spans="2:2">
      <c r="B1712" s="115">
        <v>669126</v>
      </c>
    </row>
    <row r="1713" spans="2:2">
      <c r="B1713" s="116">
        <v>669492</v>
      </c>
    </row>
    <row r="1714" spans="2:2">
      <c r="B1714" s="115">
        <v>669857</v>
      </c>
    </row>
    <row r="1715" spans="2:2">
      <c r="B1715" s="116">
        <v>670222</v>
      </c>
    </row>
    <row r="1716" spans="2:2">
      <c r="B1716" s="115">
        <v>670587</v>
      </c>
    </row>
    <row r="1717" spans="2:2">
      <c r="B1717" s="117">
        <v>670953</v>
      </c>
    </row>
    <row r="1718" spans="2:2">
      <c r="B1718" s="115">
        <v>671318</v>
      </c>
    </row>
    <row r="1719" spans="2:2">
      <c r="B1719" s="117">
        <v>671683</v>
      </c>
    </row>
    <row r="1720" spans="2:2">
      <c r="B1720" s="115">
        <v>672048</v>
      </c>
    </row>
    <row r="1721" spans="2:2">
      <c r="B1721" s="116">
        <v>672414</v>
      </c>
    </row>
    <row r="1722" spans="2:2">
      <c r="B1722" s="115">
        <v>672779</v>
      </c>
    </row>
    <row r="1723" spans="2:2">
      <c r="B1723" s="116">
        <v>673144</v>
      </c>
    </row>
    <row r="1724" spans="2:2">
      <c r="B1724" s="115">
        <v>673509</v>
      </c>
    </row>
    <row r="1725" spans="2:2">
      <c r="B1725" s="116">
        <v>673875</v>
      </c>
    </row>
    <row r="1726" spans="2:2">
      <c r="B1726" s="115">
        <v>674240</v>
      </c>
    </row>
    <row r="1727" spans="2:2">
      <c r="B1727" s="116">
        <v>674605</v>
      </c>
    </row>
    <row r="1728" spans="2:2">
      <c r="B1728" s="115">
        <v>674970</v>
      </c>
    </row>
    <row r="1729" spans="2:2">
      <c r="B1729" s="117">
        <v>675336</v>
      </c>
    </row>
    <row r="1730" spans="2:2">
      <c r="B1730" s="115">
        <v>675701</v>
      </c>
    </row>
    <row r="1731" spans="2:2">
      <c r="B1731" s="117">
        <v>676066</v>
      </c>
    </row>
    <row r="1732" spans="2:2">
      <c r="B1732" s="115">
        <v>676431</v>
      </c>
    </row>
    <row r="1733" spans="2:2">
      <c r="B1733" s="116">
        <v>676797</v>
      </c>
    </row>
    <row r="1734" spans="2:2">
      <c r="B1734" s="115">
        <v>677162</v>
      </c>
    </row>
    <row r="1735" spans="2:2">
      <c r="B1735" s="116">
        <v>677527</v>
      </c>
    </row>
    <row r="1736" spans="2:2">
      <c r="B1736" s="115">
        <v>677892</v>
      </c>
    </row>
    <row r="1737" spans="2:2">
      <c r="B1737" s="116">
        <v>678258</v>
      </c>
    </row>
    <row r="1738" spans="2:2">
      <c r="B1738" s="115">
        <v>678623</v>
      </c>
    </row>
    <row r="1739" spans="2:2">
      <c r="B1739" s="116">
        <v>678988</v>
      </c>
    </row>
    <row r="1740" spans="2:2">
      <c r="B1740" s="115">
        <v>679353</v>
      </c>
    </row>
    <row r="1741" spans="2:2">
      <c r="B1741" s="117">
        <v>679719</v>
      </c>
    </row>
    <row r="1742" spans="2:2">
      <c r="B1742" s="115">
        <v>680084</v>
      </c>
    </row>
    <row r="1743" spans="2:2">
      <c r="B1743" s="117">
        <v>680449</v>
      </c>
    </row>
    <row r="1744" spans="2:2">
      <c r="B1744" s="115">
        <v>680814</v>
      </c>
    </row>
    <row r="1745" spans="2:2">
      <c r="B1745" s="116">
        <v>681180</v>
      </c>
    </row>
    <row r="1746" spans="2:2">
      <c r="B1746" s="115">
        <v>681545</v>
      </c>
    </row>
    <row r="1747" spans="2:2">
      <c r="B1747" s="116">
        <v>681910</v>
      </c>
    </row>
    <row r="1748" spans="2:2">
      <c r="B1748" s="115">
        <v>682275</v>
      </c>
    </row>
    <row r="1749" spans="2:2">
      <c r="B1749" s="116">
        <v>682641</v>
      </c>
    </row>
    <row r="1750" spans="2:2">
      <c r="B1750" s="115">
        <v>683006</v>
      </c>
    </row>
    <row r="1751" spans="2:2">
      <c r="B1751" s="116">
        <v>683371</v>
      </c>
    </row>
    <row r="1752" spans="2:2">
      <c r="B1752" s="115">
        <v>683736</v>
      </c>
    </row>
    <row r="1753" spans="2:2">
      <c r="B1753" s="117">
        <v>684102</v>
      </c>
    </row>
    <row r="1754" spans="2:2">
      <c r="B1754" s="115">
        <v>684467</v>
      </c>
    </row>
    <row r="1755" spans="2:2">
      <c r="B1755" s="117">
        <v>684832</v>
      </c>
    </row>
    <row r="1756" spans="2:2">
      <c r="B1756" s="115">
        <v>685197</v>
      </c>
    </row>
    <row r="1757" spans="2:2">
      <c r="B1757" s="116">
        <v>685563</v>
      </c>
    </row>
    <row r="1758" spans="2:2">
      <c r="B1758" s="115">
        <v>685928</v>
      </c>
    </row>
    <row r="1759" spans="2:2">
      <c r="B1759" s="116">
        <v>686293</v>
      </c>
    </row>
    <row r="1760" spans="2:2">
      <c r="B1760" s="115">
        <v>686658</v>
      </c>
    </row>
    <row r="1761" spans="2:2">
      <c r="B1761" s="116">
        <v>687024</v>
      </c>
    </row>
    <row r="1762" spans="2:2">
      <c r="B1762" s="115">
        <v>687389</v>
      </c>
    </row>
    <row r="1763" spans="2:2">
      <c r="B1763" s="116">
        <v>687754</v>
      </c>
    </row>
    <row r="1764" spans="2:2">
      <c r="B1764" s="115">
        <v>688119</v>
      </c>
    </row>
    <row r="1765" spans="2:2">
      <c r="B1765" s="117">
        <v>688485</v>
      </c>
    </row>
    <row r="1766" spans="2:2">
      <c r="B1766" s="115">
        <v>688850</v>
      </c>
    </row>
    <row r="1767" spans="2:2">
      <c r="B1767" s="117">
        <v>689215</v>
      </c>
    </row>
    <row r="1768" spans="2:2">
      <c r="B1768" s="115">
        <v>689580</v>
      </c>
    </row>
    <row r="1769" spans="2:2">
      <c r="B1769" s="116">
        <v>689946</v>
      </c>
    </row>
    <row r="1770" spans="2:2">
      <c r="B1770" s="115">
        <v>690311</v>
      </c>
    </row>
    <row r="1771" spans="2:2">
      <c r="B1771" s="116">
        <v>690676</v>
      </c>
    </row>
    <row r="1772" spans="2:2">
      <c r="B1772" s="115">
        <v>691041</v>
      </c>
    </row>
    <row r="1773" spans="2:2">
      <c r="B1773" s="116">
        <v>691407</v>
      </c>
    </row>
    <row r="1774" spans="2:2">
      <c r="B1774" s="115">
        <v>691772</v>
      </c>
    </row>
    <row r="1775" spans="2:2">
      <c r="B1775" s="116">
        <v>692137</v>
      </c>
    </row>
    <row r="1776" spans="2:2">
      <c r="B1776" s="115">
        <v>692502</v>
      </c>
    </row>
    <row r="1777" spans="2:2">
      <c r="B1777" s="117">
        <v>692868</v>
      </c>
    </row>
    <row r="1778" spans="2:2">
      <c r="B1778" s="115">
        <v>693233</v>
      </c>
    </row>
    <row r="1779" spans="2:2">
      <c r="B1779" s="117">
        <v>693598</v>
      </c>
    </row>
    <row r="1780" spans="2:2">
      <c r="B1780" s="115">
        <v>693963</v>
      </c>
    </row>
    <row r="1781" spans="2:2">
      <c r="B1781" s="116">
        <v>694328</v>
      </c>
    </row>
    <row r="1782" spans="2:2">
      <c r="B1782" s="115">
        <v>694693</v>
      </c>
    </row>
    <row r="1783" spans="2:2">
      <c r="B1783" s="116">
        <v>695058</v>
      </c>
    </row>
    <row r="1784" spans="2:2">
      <c r="B1784" s="115">
        <v>695423</v>
      </c>
    </row>
    <row r="1785" spans="2:2">
      <c r="B1785" s="116">
        <v>695789</v>
      </c>
    </row>
    <row r="1786" spans="2:2">
      <c r="B1786" s="115">
        <v>696154</v>
      </c>
    </row>
    <row r="1787" spans="2:2">
      <c r="B1787" s="116">
        <v>696519</v>
      </c>
    </row>
    <row r="1788" spans="2:2">
      <c r="B1788" s="115">
        <v>696884</v>
      </c>
    </row>
    <row r="1789" spans="2:2">
      <c r="B1789" s="117">
        <v>697250</v>
      </c>
    </row>
    <row r="1790" spans="2:2">
      <c r="B1790" s="115">
        <v>697615</v>
      </c>
    </row>
    <row r="1791" spans="2:2">
      <c r="B1791" s="117">
        <v>697980</v>
      </c>
    </row>
    <row r="1792" spans="2:2">
      <c r="B1792" s="115">
        <v>698345</v>
      </c>
    </row>
    <row r="1793" spans="2:2">
      <c r="B1793" s="116">
        <v>698711</v>
      </c>
    </row>
    <row r="1794" spans="2:2">
      <c r="B1794" s="115">
        <v>699076</v>
      </c>
    </row>
    <row r="1795" spans="2:2">
      <c r="B1795" s="116">
        <v>699441</v>
      </c>
    </row>
    <row r="1796" spans="2:2">
      <c r="B1796" s="115">
        <v>699806</v>
      </c>
    </row>
    <row r="1797" spans="2:2">
      <c r="B1797" s="116">
        <v>700172</v>
      </c>
    </row>
    <row r="1798" spans="2:2">
      <c r="B1798" s="115">
        <v>700537</v>
      </c>
    </row>
    <row r="1799" spans="2:2">
      <c r="B1799" s="116">
        <v>700902</v>
      </c>
    </row>
    <row r="1800" spans="2:2">
      <c r="B1800" s="115">
        <v>701267</v>
      </c>
    </row>
    <row r="1801" spans="2:2">
      <c r="B1801" s="117">
        <v>701633</v>
      </c>
    </row>
    <row r="1802" spans="2:2">
      <c r="B1802" s="115">
        <v>701998</v>
      </c>
    </row>
    <row r="1803" spans="2:2">
      <c r="B1803" s="117">
        <v>702363</v>
      </c>
    </row>
    <row r="1804" spans="2:2">
      <c r="B1804" s="115">
        <v>702728</v>
      </c>
    </row>
    <row r="1805" spans="2:2">
      <c r="B1805" s="116">
        <v>703094</v>
      </c>
    </row>
    <row r="1806" spans="2:2">
      <c r="B1806" s="115">
        <v>703459</v>
      </c>
    </row>
    <row r="1807" spans="2:2">
      <c r="B1807" s="116">
        <v>703824</v>
      </c>
    </row>
    <row r="1808" spans="2:2">
      <c r="B1808" s="115">
        <v>704189</v>
      </c>
    </row>
    <row r="1809" spans="2:2">
      <c r="B1809" s="116">
        <v>704555</v>
      </c>
    </row>
    <row r="1810" spans="2:2">
      <c r="B1810" s="115">
        <v>704920</v>
      </c>
    </row>
    <row r="1811" spans="2:2">
      <c r="B1811" s="116">
        <v>705285</v>
      </c>
    </row>
    <row r="1812" spans="2:2">
      <c r="B1812" s="115">
        <v>705650</v>
      </c>
    </row>
    <row r="1813" spans="2:2">
      <c r="B1813" s="117">
        <v>706016</v>
      </c>
    </row>
    <row r="1814" spans="2:2">
      <c r="B1814" s="115">
        <v>706381</v>
      </c>
    </row>
    <row r="1815" spans="2:2">
      <c r="B1815" s="117">
        <v>706746</v>
      </c>
    </row>
    <row r="1816" spans="2:2">
      <c r="B1816" s="115">
        <v>707111</v>
      </c>
    </row>
    <row r="1817" spans="2:2">
      <c r="B1817" s="116">
        <v>707477</v>
      </c>
    </row>
    <row r="1818" spans="2:2">
      <c r="B1818" s="115">
        <v>707842</v>
      </c>
    </row>
    <row r="1819" spans="2:2">
      <c r="B1819" s="116">
        <v>708207</v>
      </c>
    </row>
    <row r="1820" spans="2:2">
      <c r="B1820" s="115">
        <v>708572</v>
      </c>
    </row>
    <row r="1821" spans="2:2">
      <c r="B1821" s="116">
        <v>708938</v>
      </c>
    </row>
    <row r="1822" spans="2:2">
      <c r="B1822" s="115">
        <v>709303</v>
      </c>
    </row>
    <row r="1823" spans="2:2">
      <c r="B1823" s="116">
        <v>709668</v>
      </c>
    </row>
    <row r="1824" spans="2:2">
      <c r="B1824" s="115">
        <v>710033</v>
      </c>
    </row>
    <row r="1825" spans="2:2">
      <c r="B1825" s="117">
        <v>710399</v>
      </c>
    </row>
    <row r="1826" spans="2:2">
      <c r="B1826" s="115">
        <v>710764</v>
      </c>
    </row>
    <row r="1827" spans="2:2">
      <c r="B1827" s="117">
        <v>711129</v>
      </c>
    </row>
    <row r="1828" spans="2:2">
      <c r="B1828" s="115">
        <v>711494</v>
      </c>
    </row>
    <row r="1829" spans="2:2">
      <c r="B1829" s="116">
        <v>711860</v>
      </c>
    </row>
    <row r="1830" spans="2:2">
      <c r="B1830" s="115">
        <v>712225</v>
      </c>
    </row>
    <row r="1831" spans="2:2">
      <c r="B1831" s="116">
        <v>712590</v>
      </c>
    </row>
    <row r="1832" spans="2:2">
      <c r="B1832" s="115">
        <v>712955</v>
      </c>
    </row>
    <row r="1833" spans="2:2">
      <c r="B1833" s="116">
        <v>713321</v>
      </c>
    </row>
    <row r="1834" spans="2:2">
      <c r="B1834" s="115">
        <v>713686</v>
      </c>
    </row>
    <row r="1835" spans="2:2">
      <c r="B1835" s="116">
        <v>714051</v>
      </c>
    </row>
    <row r="1836" spans="2:2">
      <c r="B1836" s="115">
        <v>714416</v>
      </c>
    </row>
    <row r="1837" spans="2:2">
      <c r="B1837" s="117">
        <v>714782</v>
      </c>
    </row>
    <row r="1838" spans="2:2">
      <c r="B1838" s="115">
        <v>715147</v>
      </c>
    </row>
    <row r="1839" spans="2:2">
      <c r="B1839" s="117">
        <v>715512</v>
      </c>
    </row>
    <row r="1840" spans="2:2">
      <c r="B1840" s="115">
        <v>715877</v>
      </c>
    </row>
    <row r="1841" spans="2:2">
      <c r="B1841" s="116">
        <v>716243</v>
      </c>
    </row>
    <row r="1842" spans="2:2">
      <c r="B1842" s="115">
        <v>716608</v>
      </c>
    </row>
    <row r="1843" spans="2:2">
      <c r="B1843" s="116">
        <v>716973</v>
      </c>
    </row>
    <row r="1844" spans="2:2">
      <c r="B1844" s="115">
        <v>717338</v>
      </c>
    </row>
    <row r="1845" spans="2:2">
      <c r="B1845" s="116">
        <v>717704</v>
      </c>
    </row>
    <row r="1846" spans="2:2">
      <c r="B1846" s="115">
        <v>718069</v>
      </c>
    </row>
    <row r="1847" spans="2:2">
      <c r="B1847" s="116">
        <v>718434</v>
      </c>
    </row>
    <row r="1848" spans="2:2">
      <c r="B1848" s="115">
        <v>718799</v>
      </c>
    </row>
    <row r="1849" spans="2:2">
      <c r="B1849" s="117">
        <v>719165</v>
      </c>
    </row>
    <row r="1850" spans="2:2">
      <c r="B1850" s="115">
        <v>719530</v>
      </c>
    </row>
    <row r="1851" spans="2:2">
      <c r="B1851" s="117">
        <v>719895</v>
      </c>
    </row>
    <row r="1852" spans="2:2">
      <c r="B1852" s="115">
        <v>720260</v>
      </c>
    </row>
    <row r="1853" spans="2:2">
      <c r="B1853" s="116">
        <v>720626</v>
      </c>
    </row>
    <row r="1854" spans="2:2">
      <c r="B1854" s="115">
        <v>720991</v>
      </c>
    </row>
    <row r="1855" spans="2:2">
      <c r="B1855" s="116">
        <v>721356</v>
      </c>
    </row>
    <row r="1856" spans="2:2">
      <c r="B1856" s="115">
        <v>721721</v>
      </c>
    </row>
    <row r="1857" spans="2:2">
      <c r="B1857" s="116">
        <v>722087</v>
      </c>
    </row>
    <row r="1858" spans="2:2">
      <c r="B1858" s="115">
        <v>722452</v>
      </c>
    </row>
    <row r="1859" spans="2:2">
      <c r="B1859" s="116">
        <v>722817</v>
      </c>
    </row>
    <row r="1860" spans="2:2">
      <c r="B1860" s="115">
        <v>723182</v>
      </c>
    </row>
    <row r="1861" spans="2:2">
      <c r="B1861" s="117">
        <v>723548</v>
      </c>
    </row>
    <row r="1862" spans="2:2">
      <c r="B1862" s="115">
        <v>723913</v>
      </c>
    </row>
    <row r="1863" spans="2:2">
      <c r="B1863" s="117">
        <v>724278</v>
      </c>
    </row>
    <row r="1864" spans="2:2">
      <c r="B1864" s="115">
        <v>724643</v>
      </c>
    </row>
    <row r="1865" spans="2:2">
      <c r="B1865" s="116">
        <v>725009</v>
      </c>
    </row>
    <row r="1866" spans="2:2">
      <c r="B1866" s="115">
        <v>725374</v>
      </c>
    </row>
    <row r="1867" spans="2:2">
      <c r="B1867" s="116">
        <v>725739</v>
      </c>
    </row>
    <row r="1868" spans="2:2">
      <c r="B1868" s="115">
        <v>726104</v>
      </c>
    </row>
    <row r="1869" spans="2:2">
      <c r="B1869" s="116">
        <v>726470</v>
      </c>
    </row>
    <row r="1870" spans="2:2">
      <c r="B1870" s="115">
        <v>726835</v>
      </c>
    </row>
    <row r="1871" spans="2:2">
      <c r="B1871" s="116">
        <v>727200</v>
      </c>
    </row>
    <row r="1872" spans="2:2">
      <c r="B1872" s="115">
        <v>727565</v>
      </c>
    </row>
    <row r="1873" spans="2:2">
      <c r="B1873" s="117">
        <v>727931</v>
      </c>
    </row>
    <row r="1874" spans="2:2">
      <c r="B1874" s="115">
        <v>728296</v>
      </c>
    </row>
    <row r="1875" spans="2:2">
      <c r="B1875" s="117">
        <v>728661</v>
      </c>
    </row>
    <row r="1876" spans="2:2">
      <c r="B1876" s="115">
        <v>729026</v>
      </c>
    </row>
    <row r="1877" spans="2:2">
      <c r="B1877" s="116">
        <v>729392</v>
      </c>
    </row>
    <row r="1878" spans="2:2">
      <c r="B1878" s="115">
        <v>729757</v>
      </c>
    </row>
    <row r="1879" spans="2:2">
      <c r="B1879" s="116">
        <v>730122</v>
      </c>
    </row>
    <row r="1880" spans="2:2">
      <c r="B1880" s="115">
        <v>730487</v>
      </c>
    </row>
    <row r="1881" spans="2:2">
      <c r="B1881" s="116">
        <v>730852</v>
      </c>
    </row>
    <row r="1882" spans="2:2">
      <c r="B1882" s="115">
        <v>731217</v>
      </c>
    </row>
    <row r="1883" spans="2:2">
      <c r="B1883" s="116">
        <v>731582</v>
      </c>
    </row>
    <row r="1884" spans="2:2">
      <c r="B1884" s="115">
        <v>731947</v>
      </c>
    </row>
    <row r="1885" spans="2:2">
      <c r="B1885" s="117">
        <v>732313</v>
      </c>
    </row>
    <row r="1886" spans="2:2">
      <c r="B1886" s="115">
        <v>732678</v>
      </c>
    </row>
    <row r="1887" spans="2:2">
      <c r="B1887" s="117">
        <v>733043</v>
      </c>
    </row>
    <row r="1888" spans="2:2">
      <c r="B1888" s="115">
        <v>733408</v>
      </c>
    </row>
    <row r="1889" spans="2:2">
      <c r="B1889" s="116">
        <v>733774</v>
      </c>
    </row>
    <row r="1890" spans="2:2">
      <c r="B1890" s="115">
        <v>734139</v>
      </c>
    </row>
    <row r="1891" spans="2:2">
      <c r="B1891" s="116">
        <v>734504</v>
      </c>
    </row>
    <row r="1892" spans="2:2">
      <c r="B1892" s="115">
        <v>734869</v>
      </c>
    </row>
    <row r="1893" spans="2:2">
      <c r="B1893" s="116">
        <v>735235</v>
      </c>
    </row>
    <row r="1894" spans="2:2">
      <c r="B1894" s="115">
        <v>735600</v>
      </c>
    </row>
    <row r="1895" spans="2:2">
      <c r="B1895" s="116">
        <v>735965</v>
      </c>
    </row>
    <row r="1896" spans="2:2">
      <c r="B1896" s="115">
        <v>736330</v>
      </c>
    </row>
    <row r="1897" spans="2:2">
      <c r="B1897" s="117">
        <v>736696</v>
      </c>
    </row>
    <row r="1898" spans="2:2">
      <c r="B1898" s="115">
        <v>737061</v>
      </c>
    </row>
    <row r="1899" spans="2:2">
      <c r="B1899" s="117">
        <v>737426</v>
      </c>
    </row>
    <row r="1900" spans="2:2">
      <c r="B1900" s="115">
        <v>737791</v>
      </c>
    </row>
    <row r="1901" spans="2:2">
      <c r="B1901" s="116">
        <v>738157</v>
      </c>
    </row>
    <row r="1902" spans="2:2">
      <c r="B1902" s="115">
        <v>738522</v>
      </c>
    </row>
    <row r="1903" spans="2:2">
      <c r="B1903" s="116">
        <v>738887</v>
      </c>
    </row>
    <row r="1904" spans="2:2">
      <c r="B1904" s="115">
        <v>739252</v>
      </c>
    </row>
    <row r="1905" spans="2:2">
      <c r="B1905" s="116">
        <v>739618</v>
      </c>
    </row>
    <row r="1906" spans="2:2">
      <c r="B1906" s="115">
        <v>739983</v>
      </c>
    </row>
    <row r="1907" spans="2:2">
      <c r="B1907" s="116">
        <v>740348</v>
      </c>
    </row>
    <row r="1908" spans="2:2">
      <c r="B1908" s="115">
        <v>740713</v>
      </c>
    </row>
    <row r="1909" spans="2:2">
      <c r="B1909" s="117">
        <v>741079</v>
      </c>
    </row>
    <row r="1910" spans="2:2">
      <c r="B1910" s="115">
        <v>741444</v>
      </c>
    </row>
    <row r="1911" spans="2:2">
      <c r="B1911" s="117">
        <v>741809</v>
      </c>
    </row>
    <row r="1912" spans="2:2">
      <c r="B1912" s="115">
        <v>742174</v>
      </c>
    </row>
    <row r="1913" spans="2:2">
      <c r="B1913" s="116">
        <v>742540</v>
      </c>
    </row>
    <row r="1914" spans="2:2">
      <c r="B1914" s="115">
        <v>742905</v>
      </c>
    </row>
    <row r="1915" spans="2:2">
      <c r="B1915" s="116">
        <v>743270</v>
      </c>
    </row>
    <row r="1916" spans="2:2">
      <c r="B1916" s="115">
        <v>743635</v>
      </c>
    </row>
    <row r="1917" spans="2:2">
      <c r="B1917" s="116">
        <v>744001</v>
      </c>
    </row>
    <row r="1918" spans="2:2">
      <c r="B1918" s="115">
        <v>744366</v>
      </c>
    </row>
    <row r="1919" spans="2:2">
      <c r="B1919" s="116">
        <v>744731</v>
      </c>
    </row>
    <row r="1920" spans="2:2">
      <c r="B1920" s="115">
        <v>745096</v>
      </c>
    </row>
    <row r="1921" spans="2:2">
      <c r="B1921" s="117">
        <v>745462</v>
      </c>
    </row>
    <row r="1922" spans="2:2">
      <c r="B1922" s="115">
        <v>745827</v>
      </c>
    </row>
    <row r="1923" spans="2:2">
      <c r="B1923" s="117">
        <v>746192</v>
      </c>
    </row>
    <row r="1924" spans="2:2">
      <c r="B1924" s="115">
        <v>746557</v>
      </c>
    </row>
    <row r="1925" spans="2:2">
      <c r="B1925" s="116">
        <v>746923</v>
      </c>
    </row>
    <row r="1926" spans="2:2">
      <c r="B1926" s="115">
        <v>747288</v>
      </c>
    </row>
    <row r="1927" spans="2:2">
      <c r="B1927" s="116">
        <v>747653</v>
      </c>
    </row>
    <row r="1928" spans="2:2">
      <c r="B1928" s="115">
        <v>748018</v>
      </c>
    </row>
    <row r="1929" spans="2:2">
      <c r="B1929" s="116">
        <v>748384</v>
      </c>
    </row>
    <row r="1930" spans="2:2">
      <c r="B1930" s="115">
        <v>748749</v>
      </c>
    </row>
    <row r="1931" spans="2:2">
      <c r="B1931" s="116">
        <v>749114</v>
      </c>
    </row>
    <row r="1932" spans="2:2">
      <c r="B1932" s="115">
        <v>749479</v>
      </c>
    </row>
    <row r="1933" spans="2:2">
      <c r="B1933" s="117">
        <v>749845</v>
      </c>
    </row>
    <row r="1934" spans="2:2">
      <c r="B1934" s="115">
        <v>750210</v>
      </c>
    </row>
    <row r="1935" spans="2:2">
      <c r="B1935" s="117">
        <v>750575</v>
      </c>
    </row>
    <row r="1936" spans="2:2">
      <c r="B1936" s="115">
        <v>750940</v>
      </c>
    </row>
    <row r="1937" spans="2:2">
      <c r="B1937" s="116">
        <v>751306</v>
      </c>
    </row>
    <row r="1938" spans="2:2">
      <c r="B1938" s="115">
        <v>751671</v>
      </c>
    </row>
    <row r="1939" spans="2:2">
      <c r="B1939" s="116">
        <v>752036</v>
      </c>
    </row>
    <row r="1940" spans="2:2">
      <c r="B1940" s="115">
        <v>752401</v>
      </c>
    </row>
    <row r="1941" spans="2:2">
      <c r="B1941" s="116">
        <v>752767</v>
      </c>
    </row>
    <row r="1942" spans="2:2">
      <c r="B1942" s="115">
        <v>753132</v>
      </c>
    </row>
    <row r="1943" spans="2:2">
      <c r="B1943" s="116">
        <v>753497</v>
      </c>
    </row>
    <row r="1944" spans="2:2">
      <c r="B1944" s="115">
        <v>753862</v>
      </c>
    </row>
    <row r="1945" spans="2:2">
      <c r="B1945" s="117">
        <v>754228</v>
      </c>
    </row>
    <row r="1946" spans="2:2">
      <c r="B1946" s="115">
        <v>754593</v>
      </c>
    </row>
    <row r="1947" spans="2:2">
      <c r="B1947" s="117">
        <v>754958</v>
      </c>
    </row>
    <row r="1948" spans="2:2">
      <c r="B1948" s="115">
        <v>755323</v>
      </c>
    </row>
    <row r="1949" spans="2:2">
      <c r="B1949" s="116">
        <v>755689</v>
      </c>
    </row>
    <row r="1950" spans="2:2">
      <c r="B1950" s="115">
        <v>756054</v>
      </c>
    </row>
    <row r="1951" spans="2:2">
      <c r="B1951" s="116">
        <v>756419</v>
      </c>
    </row>
    <row r="1952" spans="2:2">
      <c r="B1952" s="115">
        <v>756784</v>
      </c>
    </row>
    <row r="1953" spans="2:2">
      <c r="B1953" s="116">
        <v>757150</v>
      </c>
    </row>
    <row r="1954" spans="2:2">
      <c r="B1954" s="115">
        <v>757515</v>
      </c>
    </row>
    <row r="1955" spans="2:2">
      <c r="B1955" s="116">
        <v>757880</v>
      </c>
    </row>
    <row r="1956" spans="2:2">
      <c r="B1956" s="115">
        <v>758245</v>
      </c>
    </row>
    <row r="1957" spans="2:2">
      <c r="B1957" s="117">
        <v>758611</v>
      </c>
    </row>
    <row r="1958" spans="2:2">
      <c r="B1958" s="115">
        <v>758976</v>
      </c>
    </row>
    <row r="1959" spans="2:2">
      <c r="B1959" s="117">
        <v>759341</v>
      </c>
    </row>
    <row r="1960" spans="2:2">
      <c r="B1960" s="115">
        <v>759706</v>
      </c>
    </row>
    <row r="1961" spans="2:2">
      <c r="B1961" s="116">
        <v>760072</v>
      </c>
    </row>
    <row r="1962" spans="2:2">
      <c r="B1962" s="115">
        <v>760437</v>
      </c>
    </row>
    <row r="1963" spans="2:2">
      <c r="B1963" s="116">
        <v>760802</v>
      </c>
    </row>
    <row r="1964" spans="2:2">
      <c r="B1964" s="115">
        <v>761167</v>
      </c>
    </row>
    <row r="1965" spans="2:2">
      <c r="B1965" s="116">
        <v>761533</v>
      </c>
    </row>
    <row r="1966" spans="2:2">
      <c r="B1966" s="115">
        <v>761898</v>
      </c>
    </row>
    <row r="1967" spans="2:2">
      <c r="B1967" s="116">
        <v>762263</v>
      </c>
    </row>
    <row r="1968" spans="2:2">
      <c r="B1968" s="115">
        <v>762628</v>
      </c>
    </row>
    <row r="1969" spans="2:2">
      <c r="B1969" s="117">
        <v>762994</v>
      </c>
    </row>
    <row r="1970" spans="2:2">
      <c r="B1970" s="115">
        <v>763359</v>
      </c>
    </row>
    <row r="1971" spans="2:2">
      <c r="B1971" s="117">
        <v>763724</v>
      </c>
    </row>
    <row r="1972" spans="2:2">
      <c r="B1972" s="115">
        <v>764089</v>
      </c>
    </row>
    <row r="1973" spans="2:2">
      <c r="B1973" s="116">
        <v>764455</v>
      </c>
    </row>
    <row r="1974" spans="2:2">
      <c r="B1974" s="115">
        <v>764820</v>
      </c>
    </row>
    <row r="1975" spans="2:2">
      <c r="B1975" s="116">
        <v>765185</v>
      </c>
    </row>
    <row r="1976" spans="2:2">
      <c r="B1976" s="115">
        <v>765550</v>
      </c>
    </row>
    <row r="1977" spans="2:2">
      <c r="B1977" s="116">
        <v>765916</v>
      </c>
    </row>
    <row r="1978" spans="2:2">
      <c r="B1978" s="115">
        <v>766281</v>
      </c>
    </row>
    <row r="1979" spans="2:2">
      <c r="B1979" s="116">
        <v>766646</v>
      </c>
    </row>
    <row r="1980" spans="2:2">
      <c r="B1980" s="115">
        <v>767011</v>
      </c>
    </row>
    <row r="1981" spans="2:2">
      <c r="B1981" s="117">
        <v>767377</v>
      </c>
    </row>
    <row r="1982" spans="2:2">
      <c r="B1982" s="115">
        <v>767742</v>
      </c>
    </row>
    <row r="1983" spans="2:2">
      <c r="B1983" s="117">
        <v>768107</v>
      </c>
    </row>
    <row r="1984" spans="2:2">
      <c r="B1984" s="115">
        <v>768472</v>
      </c>
    </row>
    <row r="1985" spans="2:2">
      <c r="B1985" s="116">
        <v>768838</v>
      </c>
    </row>
    <row r="1986" spans="2:2">
      <c r="B1986" s="115">
        <v>769203</v>
      </c>
    </row>
    <row r="1987" spans="2:2">
      <c r="B1987" s="116">
        <v>769568</v>
      </c>
    </row>
    <row r="1988" spans="2:2">
      <c r="B1988" s="115">
        <v>769933</v>
      </c>
    </row>
    <row r="1989" spans="2:2">
      <c r="B1989" s="116">
        <v>770299</v>
      </c>
    </row>
    <row r="1990" spans="2:2">
      <c r="B1990" s="115">
        <v>770664</v>
      </c>
    </row>
    <row r="1991" spans="2:2">
      <c r="B1991" s="116">
        <v>771029</v>
      </c>
    </row>
    <row r="1992" spans="2:2">
      <c r="B1992" s="115">
        <v>771394</v>
      </c>
    </row>
    <row r="1993" spans="2:2">
      <c r="B1993" s="117">
        <v>771760</v>
      </c>
    </row>
    <row r="1994" spans="2:2">
      <c r="B1994" s="115">
        <v>772125</v>
      </c>
    </row>
    <row r="1995" spans="2:2">
      <c r="B1995" s="117">
        <v>772490</v>
      </c>
    </row>
    <row r="1996" spans="2:2">
      <c r="B1996" s="115">
        <v>772855</v>
      </c>
    </row>
    <row r="1997" spans="2:2">
      <c r="B1997" s="116">
        <v>773221</v>
      </c>
    </row>
    <row r="1998" spans="2:2">
      <c r="B1998" s="115">
        <v>773586</v>
      </c>
    </row>
    <row r="1999" spans="2:2">
      <c r="B1999" s="116">
        <v>773951</v>
      </c>
    </row>
    <row r="2000" spans="2:2">
      <c r="B2000" s="115">
        <v>774316</v>
      </c>
    </row>
    <row r="2001" spans="2:2">
      <c r="B2001" s="116">
        <v>774682</v>
      </c>
    </row>
    <row r="2002" spans="2:2">
      <c r="B2002" s="115">
        <v>775047</v>
      </c>
    </row>
    <row r="2003" spans="2:2">
      <c r="B2003" s="116">
        <v>775412</v>
      </c>
    </row>
    <row r="2004" spans="2:2">
      <c r="B2004" s="115">
        <v>775777</v>
      </c>
    </row>
    <row r="2005" spans="2:2">
      <c r="B2005" s="117">
        <v>776143</v>
      </c>
    </row>
    <row r="2006" spans="2:2">
      <c r="B2006" s="115">
        <v>776508</v>
      </c>
    </row>
    <row r="2007" spans="2:2">
      <c r="B2007" s="117">
        <v>776873</v>
      </c>
    </row>
    <row r="2008" spans="2:2">
      <c r="B2008" s="115">
        <v>777238</v>
      </c>
    </row>
    <row r="2009" spans="2:2">
      <c r="B2009" s="116">
        <v>777604</v>
      </c>
    </row>
    <row r="2010" spans="2:2">
      <c r="B2010" s="115">
        <v>777969</v>
      </c>
    </row>
    <row r="2011" spans="2:2">
      <c r="B2011" s="116">
        <v>778334</v>
      </c>
    </row>
    <row r="2012" spans="2:2">
      <c r="B2012" s="115">
        <v>778699</v>
      </c>
    </row>
    <row r="2013" spans="2:2">
      <c r="B2013" s="116">
        <v>779065</v>
      </c>
    </row>
    <row r="2014" spans="2:2">
      <c r="B2014" s="115">
        <v>779430</v>
      </c>
    </row>
    <row r="2015" spans="2:2">
      <c r="B2015" s="116">
        <v>779795</v>
      </c>
    </row>
    <row r="2016" spans="2:2">
      <c r="B2016" s="115">
        <v>780160</v>
      </c>
    </row>
    <row r="2017" spans="2:2">
      <c r="B2017" s="117">
        <v>780526</v>
      </c>
    </row>
    <row r="2018" spans="2:2">
      <c r="B2018" s="115">
        <v>780891</v>
      </c>
    </row>
    <row r="2019" spans="2:2">
      <c r="B2019" s="117">
        <v>781256</v>
      </c>
    </row>
    <row r="2020" spans="2:2">
      <c r="B2020" s="115">
        <v>781621</v>
      </c>
    </row>
    <row r="2021" spans="2:2">
      <c r="B2021" s="116">
        <v>781987</v>
      </c>
    </row>
    <row r="2022" spans="2:2">
      <c r="B2022" s="115">
        <v>782352</v>
      </c>
    </row>
    <row r="2023" spans="2:2">
      <c r="B2023" s="116">
        <v>782717</v>
      </c>
    </row>
    <row r="2024" spans="2:2">
      <c r="B2024" s="115">
        <v>783082</v>
      </c>
    </row>
    <row r="2025" spans="2:2">
      <c r="B2025" s="116">
        <v>783448</v>
      </c>
    </row>
    <row r="2026" spans="2:2">
      <c r="B2026" s="115">
        <v>783813</v>
      </c>
    </row>
    <row r="2027" spans="2:2">
      <c r="B2027" s="116">
        <v>784178</v>
      </c>
    </row>
    <row r="2028" spans="2:2">
      <c r="B2028" s="115">
        <v>784543</v>
      </c>
    </row>
    <row r="2029" spans="2:2">
      <c r="B2029" s="117">
        <v>784909</v>
      </c>
    </row>
    <row r="2030" spans="2:2">
      <c r="B2030" s="115">
        <v>785274</v>
      </c>
    </row>
    <row r="2031" spans="2:2">
      <c r="B2031" s="117">
        <v>785639</v>
      </c>
    </row>
    <row r="2032" spans="2:2">
      <c r="B2032" s="115">
        <v>786004</v>
      </c>
    </row>
    <row r="2033" spans="2:2">
      <c r="B2033" s="116">
        <v>786370</v>
      </c>
    </row>
    <row r="2034" spans="2:2">
      <c r="B2034" s="115">
        <v>786735</v>
      </c>
    </row>
    <row r="2035" spans="2:2">
      <c r="B2035" s="116">
        <v>787100</v>
      </c>
    </row>
    <row r="2036" spans="2:2">
      <c r="B2036" s="115">
        <v>787465</v>
      </c>
    </row>
    <row r="2037" spans="2:2">
      <c r="B2037" s="116">
        <v>787831</v>
      </c>
    </row>
    <row r="2038" spans="2:2">
      <c r="B2038" s="115">
        <v>788196</v>
      </c>
    </row>
    <row r="2039" spans="2:2">
      <c r="B2039" s="116">
        <v>788561</v>
      </c>
    </row>
    <row r="2040" spans="2:2">
      <c r="B2040" s="115">
        <v>788926</v>
      </c>
    </row>
    <row r="2041" spans="2:2">
      <c r="B2041" s="117">
        <v>789292</v>
      </c>
    </row>
    <row r="2042" spans="2:2">
      <c r="B2042" s="115">
        <v>789657</v>
      </c>
    </row>
    <row r="2043" spans="2:2">
      <c r="B2043" s="117">
        <v>790022</v>
      </c>
    </row>
    <row r="2044" spans="2:2">
      <c r="B2044" s="115">
        <v>790387</v>
      </c>
    </row>
    <row r="2045" spans="2:2">
      <c r="B2045" s="116">
        <v>790753</v>
      </c>
    </row>
    <row r="2046" spans="2:2">
      <c r="B2046" s="115">
        <v>791118</v>
      </c>
    </row>
    <row r="2047" spans="2:2">
      <c r="B2047" s="116">
        <v>791483</v>
      </c>
    </row>
    <row r="2048" spans="2:2">
      <c r="B2048" s="115">
        <v>791848</v>
      </c>
    </row>
    <row r="2049" spans="2:2">
      <c r="B2049" s="116">
        <v>792214</v>
      </c>
    </row>
    <row r="2050" spans="2:2">
      <c r="B2050" s="115">
        <v>792579</v>
      </c>
    </row>
    <row r="2051" spans="2:2">
      <c r="B2051" s="116">
        <v>792944</v>
      </c>
    </row>
    <row r="2052" spans="2:2">
      <c r="B2052" s="115">
        <v>793309</v>
      </c>
    </row>
    <row r="2053" spans="2:2">
      <c r="B2053" s="117">
        <v>793675</v>
      </c>
    </row>
    <row r="2054" spans="2:2">
      <c r="B2054" s="115">
        <v>794040</v>
      </c>
    </row>
    <row r="2055" spans="2:2">
      <c r="B2055" s="117">
        <v>794405</v>
      </c>
    </row>
    <row r="2056" spans="2:2">
      <c r="B2056" s="115">
        <v>794770</v>
      </c>
    </row>
    <row r="2057" spans="2:2">
      <c r="B2057" s="116">
        <v>795136</v>
      </c>
    </row>
    <row r="2058" spans="2:2">
      <c r="B2058" s="115">
        <v>795501</v>
      </c>
    </row>
    <row r="2059" spans="2:2">
      <c r="B2059" s="116">
        <v>795866</v>
      </c>
    </row>
    <row r="2060" spans="2:2">
      <c r="B2060" s="115">
        <v>796231</v>
      </c>
    </row>
    <row r="2061" spans="2:2">
      <c r="B2061" s="116">
        <v>796597</v>
      </c>
    </row>
    <row r="2062" spans="2:2">
      <c r="B2062" s="115">
        <v>796962</v>
      </c>
    </row>
    <row r="2063" spans="2:2">
      <c r="B2063" s="116">
        <v>797327</v>
      </c>
    </row>
    <row r="2064" spans="2:2">
      <c r="B2064" s="115">
        <v>797692</v>
      </c>
    </row>
    <row r="2065" spans="2:2">
      <c r="B2065" s="117">
        <v>798058</v>
      </c>
    </row>
    <row r="2066" spans="2:2">
      <c r="B2066" s="115">
        <v>798423</v>
      </c>
    </row>
    <row r="2067" spans="2:2">
      <c r="B2067" s="117">
        <v>798788</v>
      </c>
    </row>
    <row r="2068" spans="2:2">
      <c r="B2068" s="115">
        <v>799153</v>
      </c>
    </row>
    <row r="2069" spans="2:2">
      <c r="B2069" s="116">
        <v>799519</v>
      </c>
    </row>
    <row r="2070" spans="2:2">
      <c r="B2070" s="115">
        <v>799884</v>
      </c>
    </row>
    <row r="2071" spans="2:2">
      <c r="B2071" s="116">
        <v>800249</v>
      </c>
    </row>
    <row r="2072" spans="2:2">
      <c r="B2072" s="115">
        <v>800614</v>
      </c>
    </row>
    <row r="2073" spans="2:2">
      <c r="B2073" s="116">
        <v>800980</v>
      </c>
    </row>
    <row r="2074" spans="2:2">
      <c r="B2074" s="115">
        <v>801345</v>
      </c>
    </row>
    <row r="2075" spans="2:2">
      <c r="B2075" s="116">
        <v>801710</v>
      </c>
    </row>
    <row r="2076" spans="2:2">
      <c r="B2076" s="115">
        <v>802075</v>
      </c>
    </row>
    <row r="2077" spans="2:2">
      <c r="B2077" s="117">
        <v>802441</v>
      </c>
    </row>
    <row r="2078" spans="2:2">
      <c r="B2078" s="115">
        <v>802806</v>
      </c>
    </row>
    <row r="2079" spans="2:2">
      <c r="B2079" s="117">
        <v>803171</v>
      </c>
    </row>
    <row r="2080" spans="2:2">
      <c r="B2080" s="115">
        <v>803536</v>
      </c>
    </row>
    <row r="2081" spans="2:2">
      <c r="B2081" s="116">
        <v>803901</v>
      </c>
    </row>
    <row r="2082" spans="2:2">
      <c r="B2082" s="115">
        <v>804266</v>
      </c>
    </row>
    <row r="2083" spans="2:2">
      <c r="B2083" s="116">
        <v>804631</v>
      </c>
    </row>
    <row r="2084" spans="2:2">
      <c r="B2084" s="115">
        <v>804996</v>
      </c>
    </row>
    <row r="2085" spans="2:2">
      <c r="B2085" s="116">
        <v>805362</v>
      </c>
    </row>
    <row r="2086" spans="2:2">
      <c r="B2086" s="115">
        <v>805727</v>
      </c>
    </row>
    <row r="2087" spans="2:2">
      <c r="B2087" s="116">
        <v>806092</v>
      </c>
    </row>
    <row r="2088" spans="2:2">
      <c r="B2088" s="115">
        <v>806457</v>
      </c>
    </row>
    <row r="2089" spans="2:2">
      <c r="B2089" s="117">
        <v>806823</v>
      </c>
    </row>
    <row r="2090" spans="2:2">
      <c r="B2090" s="115">
        <v>807188</v>
      </c>
    </row>
    <row r="2091" spans="2:2">
      <c r="B2091" s="117">
        <v>807553</v>
      </c>
    </row>
    <row r="2092" spans="2:2">
      <c r="B2092" s="115">
        <v>807918</v>
      </c>
    </row>
    <row r="2093" spans="2:2">
      <c r="B2093" s="116">
        <v>808284</v>
      </c>
    </row>
    <row r="2094" spans="2:2">
      <c r="B2094" s="115">
        <v>808649</v>
      </c>
    </row>
    <row r="2095" spans="2:2">
      <c r="B2095" s="116">
        <v>809014</v>
      </c>
    </row>
    <row r="2096" spans="2:2">
      <c r="B2096" s="115">
        <v>809379</v>
      </c>
    </row>
    <row r="2097" spans="2:2">
      <c r="B2097" s="116">
        <v>809745</v>
      </c>
    </row>
    <row r="2098" spans="2:2">
      <c r="B2098" s="115">
        <v>810110</v>
      </c>
    </row>
    <row r="2099" spans="2:2">
      <c r="B2099" s="116">
        <v>810475</v>
      </c>
    </row>
    <row r="2100" spans="2:2">
      <c r="B2100" s="115">
        <v>810840</v>
      </c>
    </row>
    <row r="2101" spans="2:2">
      <c r="B2101" s="117">
        <v>811206</v>
      </c>
    </row>
    <row r="2102" spans="2:2">
      <c r="B2102" s="115">
        <v>811571</v>
      </c>
    </row>
    <row r="2103" spans="2:2">
      <c r="B2103" s="117">
        <v>811936</v>
      </c>
    </row>
    <row r="2104" spans="2:2">
      <c r="B2104" s="115">
        <v>812301</v>
      </c>
    </row>
    <row r="2105" spans="2:2">
      <c r="B2105" s="116">
        <v>812667</v>
      </c>
    </row>
    <row r="2106" spans="2:2">
      <c r="B2106" s="115">
        <v>813032</v>
      </c>
    </row>
    <row r="2107" spans="2:2">
      <c r="B2107" s="116">
        <v>813397</v>
      </c>
    </row>
    <row r="2108" spans="2:2">
      <c r="B2108" s="115">
        <v>813762</v>
      </c>
    </row>
    <row r="2109" spans="2:2">
      <c r="B2109" s="116">
        <v>814128</v>
      </c>
    </row>
    <row r="2110" spans="2:2">
      <c r="B2110" s="115">
        <v>814493</v>
      </c>
    </row>
    <row r="2111" spans="2:2">
      <c r="B2111" s="116">
        <v>814858</v>
      </c>
    </row>
    <row r="2112" spans="2:2">
      <c r="B2112" s="115">
        <v>815223</v>
      </c>
    </row>
    <row r="2113" spans="2:2">
      <c r="B2113" s="117">
        <v>815589</v>
      </c>
    </row>
    <row r="2114" spans="2:2">
      <c r="B2114" s="115">
        <v>815954</v>
      </c>
    </row>
    <row r="2115" spans="2:2">
      <c r="B2115" s="117">
        <v>816319</v>
      </c>
    </row>
    <row r="2116" spans="2:2">
      <c r="B2116" s="115">
        <v>816684</v>
      </c>
    </row>
    <row r="2117" spans="2:2">
      <c r="B2117" s="116">
        <v>817050</v>
      </c>
    </row>
    <row r="2118" spans="2:2">
      <c r="B2118" s="115">
        <v>817415</v>
      </c>
    </row>
    <row r="2119" spans="2:2">
      <c r="B2119" s="116">
        <v>817780</v>
      </c>
    </row>
    <row r="2120" spans="2:2">
      <c r="B2120" s="115">
        <v>818145</v>
      </c>
    </row>
    <row r="2121" spans="2:2">
      <c r="B2121" s="116">
        <v>818511</v>
      </c>
    </row>
    <row r="2122" spans="2:2">
      <c r="B2122" s="115">
        <v>818876</v>
      </c>
    </row>
    <row r="2123" spans="2:2">
      <c r="B2123" s="116">
        <v>819241</v>
      </c>
    </row>
    <row r="2124" spans="2:2">
      <c r="B2124" s="115">
        <v>819606</v>
      </c>
    </row>
    <row r="2125" spans="2:2">
      <c r="B2125" s="117">
        <v>819972</v>
      </c>
    </row>
    <row r="2126" spans="2:2">
      <c r="B2126" s="115">
        <v>820337</v>
      </c>
    </row>
    <row r="2127" spans="2:2">
      <c r="B2127" s="117">
        <v>820702</v>
      </c>
    </row>
    <row r="2128" spans="2:2">
      <c r="B2128" s="115">
        <v>821067</v>
      </c>
    </row>
    <row r="2129" spans="2:2">
      <c r="B2129" s="116">
        <v>821433</v>
      </c>
    </row>
    <row r="2130" spans="2:2">
      <c r="B2130" s="115">
        <v>821798</v>
      </c>
    </row>
    <row r="2131" spans="2:2">
      <c r="B2131" s="116">
        <v>822163</v>
      </c>
    </row>
    <row r="2132" spans="2:2">
      <c r="B2132" s="115">
        <v>822528</v>
      </c>
    </row>
    <row r="2133" spans="2:2">
      <c r="B2133" s="116">
        <v>822894</v>
      </c>
    </row>
    <row r="2134" spans="2:2">
      <c r="B2134" s="115">
        <v>823259</v>
      </c>
    </row>
    <row r="2135" spans="2:2">
      <c r="B2135" s="116">
        <v>823624</v>
      </c>
    </row>
    <row r="2136" spans="2:2">
      <c r="B2136" s="115">
        <v>823989</v>
      </c>
    </row>
    <row r="2137" spans="2:2">
      <c r="B2137" s="117">
        <v>824355</v>
      </c>
    </row>
    <row r="2138" spans="2:2">
      <c r="B2138" s="115">
        <v>824720</v>
      </c>
    </row>
    <row r="2139" spans="2:2">
      <c r="B2139" s="117">
        <v>825085</v>
      </c>
    </row>
    <row r="2140" spans="2:2">
      <c r="B2140" s="115">
        <v>825450</v>
      </c>
    </row>
    <row r="2141" spans="2:2">
      <c r="B2141" s="116">
        <v>825816</v>
      </c>
    </row>
    <row r="2142" spans="2:2">
      <c r="B2142" s="115">
        <v>826181</v>
      </c>
    </row>
    <row r="2143" spans="2:2">
      <c r="B2143" s="116">
        <v>826546</v>
      </c>
    </row>
    <row r="2144" spans="2:2">
      <c r="B2144" s="115">
        <v>826911</v>
      </c>
    </row>
    <row r="2145" spans="2:2">
      <c r="B2145" s="116">
        <v>827277</v>
      </c>
    </row>
    <row r="2146" spans="2:2">
      <c r="B2146" s="115">
        <v>827642</v>
      </c>
    </row>
    <row r="2147" spans="2:2">
      <c r="B2147" s="116">
        <v>828007</v>
      </c>
    </row>
    <row r="2148" spans="2:2">
      <c r="B2148" s="115">
        <v>828372</v>
      </c>
    </row>
    <row r="2149" spans="2:2">
      <c r="B2149" s="117">
        <v>828738</v>
      </c>
    </row>
    <row r="2150" spans="2:2">
      <c r="B2150" s="115">
        <v>829103</v>
      </c>
    </row>
    <row r="2151" spans="2:2">
      <c r="B2151" s="117">
        <v>829468</v>
      </c>
    </row>
    <row r="2152" spans="2:2">
      <c r="B2152" s="115">
        <v>829833</v>
      </c>
    </row>
    <row r="2153" spans="2:2">
      <c r="B2153" s="116">
        <v>830199</v>
      </c>
    </row>
    <row r="2154" spans="2:2">
      <c r="B2154" s="115">
        <v>830564</v>
      </c>
    </row>
    <row r="2155" spans="2:2">
      <c r="B2155" s="116">
        <v>830929</v>
      </c>
    </row>
    <row r="2156" spans="2:2">
      <c r="B2156" s="115">
        <v>831294</v>
      </c>
    </row>
    <row r="2157" spans="2:2">
      <c r="B2157" s="116">
        <v>831660</v>
      </c>
    </row>
    <row r="2158" spans="2:2">
      <c r="B2158" s="115">
        <v>832025</v>
      </c>
    </row>
    <row r="2159" spans="2:2">
      <c r="B2159" s="116">
        <v>832390</v>
      </c>
    </row>
    <row r="2160" spans="2:2">
      <c r="B2160" s="115">
        <v>832755</v>
      </c>
    </row>
    <row r="2161" spans="2:2">
      <c r="B2161" s="117">
        <v>833121</v>
      </c>
    </row>
    <row r="2162" spans="2:2">
      <c r="B2162" s="115">
        <v>833486</v>
      </c>
    </row>
    <row r="2163" spans="2:2">
      <c r="B2163" s="117">
        <v>833851</v>
      </c>
    </row>
    <row r="2164" spans="2:2">
      <c r="B2164" s="115">
        <v>834216</v>
      </c>
    </row>
    <row r="2165" spans="2:2">
      <c r="B2165" s="116">
        <v>834582</v>
      </c>
    </row>
    <row r="2166" spans="2:2">
      <c r="B2166" s="115">
        <v>834947</v>
      </c>
    </row>
    <row r="2167" spans="2:2">
      <c r="B2167" s="116">
        <v>835312</v>
      </c>
    </row>
    <row r="2168" spans="2:2">
      <c r="B2168" s="115">
        <v>835677</v>
      </c>
    </row>
    <row r="2169" spans="2:2">
      <c r="B2169" s="116">
        <v>836043</v>
      </c>
    </row>
    <row r="2170" spans="2:2">
      <c r="B2170" s="115">
        <v>836408</v>
      </c>
    </row>
    <row r="2171" spans="2:2">
      <c r="B2171" s="116">
        <v>836773</v>
      </c>
    </row>
    <row r="2172" spans="2:2">
      <c r="B2172" s="115">
        <v>837138</v>
      </c>
    </row>
    <row r="2173" spans="2:2">
      <c r="B2173" s="117">
        <v>837504</v>
      </c>
    </row>
    <row r="2174" spans="2:2">
      <c r="B2174" s="115">
        <v>837869</v>
      </c>
    </row>
    <row r="2175" spans="2:2">
      <c r="B2175" s="117">
        <v>838234</v>
      </c>
    </row>
    <row r="2176" spans="2:2">
      <c r="B2176" s="115">
        <v>838599</v>
      </c>
    </row>
    <row r="2177" spans="2:2">
      <c r="B2177" s="116">
        <v>838965</v>
      </c>
    </row>
    <row r="2178" spans="2:2">
      <c r="B2178" s="115">
        <v>839330</v>
      </c>
    </row>
    <row r="2179" spans="2:2">
      <c r="B2179" s="116">
        <v>839695</v>
      </c>
    </row>
    <row r="2180" spans="2:2">
      <c r="B2180" s="115">
        <v>840060</v>
      </c>
    </row>
    <row r="2181" spans="2:2">
      <c r="B2181" s="116">
        <v>840425</v>
      </c>
    </row>
    <row r="2182" spans="2:2">
      <c r="B2182" s="115">
        <v>840790</v>
      </c>
    </row>
    <row r="2183" spans="2:2">
      <c r="B2183" s="116">
        <v>841155</v>
      </c>
    </row>
    <row r="2184" spans="2:2">
      <c r="B2184" s="115">
        <v>841520</v>
      </c>
    </row>
    <row r="2185" spans="2:2">
      <c r="B2185" s="117">
        <v>841886</v>
      </c>
    </row>
    <row r="2186" spans="2:2">
      <c r="B2186" s="115">
        <v>842251</v>
      </c>
    </row>
    <row r="2187" spans="2:2">
      <c r="B2187" s="117">
        <v>842616</v>
      </c>
    </row>
    <row r="2188" spans="2:2">
      <c r="B2188" s="115">
        <v>842981</v>
      </c>
    </row>
    <row r="2189" spans="2:2">
      <c r="B2189" s="116">
        <v>843347</v>
      </c>
    </row>
    <row r="2190" spans="2:2">
      <c r="B2190" s="115">
        <v>843712</v>
      </c>
    </row>
    <row r="2191" spans="2:2">
      <c r="B2191" s="116">
        <v>844077</v>
      </c>
    </row>
    <row r="2192" spans="2:2">
      <c r="B2192" s="115">
        <v>844442</v>
      </c>
    </row>
    <row r="2193" spans="2:2">
      <c r="B2193" s="116">
        <v>844808</v>
      </c>
    </row>
    <row r="2194" spans="2:2">
      <c r="B2194" s="115">
        <v>845173</v>
      </c>
    </row>
    <row r="2195" spans="2:2">
      <c r="B2195" s="116">
        <v>845538</v>
      </c>
    </row>
    <row r="2196" spans="2:2">
      <c r="B2196" s="115">
        <v>845903</v>
      </c>
    </row>
    <row r="2197" spans="2:2">
      <c r="B2197" s="117">
        <v>846269</v>
      </c>
    </row>
    <row r="2198" spans="2:2">
      <c r="B2198" s="115">
        <v>846634</v>
      </c>
    </row>
    <row r="2199" spans="2:2">
      <c r="B2199" s="117">
        <v>846999</v>
      </c>
    </row>
    <row r="2200" spans="2:2">
      <c r="B2200" s="115">
        <v>847364</v>
      </c>
    </row>
    <row r="2201" spans="2:2">
      <c r="B2201" s="116">
        <v>847730</v>
      </c>
    </row>
    <row r="2202" spans="2:2">
      <c r="B2202" s="115">
        <v>848095</v>
      </c>
    </row>
    <row r="2203" spans="2:2">
      <c r="B2203" s="116">
        <v>848460</v>
      </c>
    </row>
    <row r="2204" spans="2:2">
      <c r="B2204" s="115">
        <v>848825</v>
      </c>
    </row>
    <row r="2205" spans="2:2">
      <c r="B2205" s="116">
        <v>849191</v>
      </c>
    </row>
    <row r="2206" spans="2:2">
      <c r="B2206" s="115">
        <v>849556</v>
      </c>
    </row>
    <row r="2207" spans="2:2">
      <c r="B2207" s="116">
        <v>849921</v>
      </c>
    </row>
    <row r="2208" spans="2:2">
      <c r="B2208" s="115">
        <v>850286</v>
      </c>
    </row>
    <row r="2209" spans="2:2">
      <c r="B2209" s="117">
        <v>850652</v>
      </c>
    </row>
    <row r="2210" spans="2:2">
      <c r="B2210" s="115">
        <v>851017</v>
      </c>
    </row>
    <row r="2211" spans="2:2">
      <c r="B2211" s="117">
        <v>851382</v>
      </c>
    </row>
    <row r="2212" spans="2:2">
      <c r="B2212" s="115">
        <v>851747</v>
      </c>
    </row>
    <row r="2213" spans="2:2">
      <c r="B2213" s="116">
        <v>852113</v>
      </c>
    </row>
    <row r="2214" spans="2:2">
      <c r="B2214" s="115">
        <v>852478</v>
      </c>
    </row>
    <row r="2215" spans="2:2">
      <c r="B2215" s="116">
        <v>852843</v>
      </c>
    </row>
    <row r="2216" spans="2:2">
      <c r="B2216" s="115">
        <v>853208</v>
      </c>
    </row>
    <row r="2217" spans="2:2">
      <c r="B2217" s="116">
        <v>853574</v>
      </c>
    </row>
    <row r="2218" spans="2:2">
      <c r="B2218" s="115">
        <v>853939</v>
      </c>
    </row>
    <row r="2219" spans="2:2">
      <c r="B2219" s="116">
        <v>854304</v>
      </c>
    </row>
    <row r="2220" spans="2:2">
      <c r="B2220" s="115">
        <v>854669</v>
      </c>
    </row>
    <row r="2221" spans="2:2">
      <c r="B2221" s="117">
        <v>855035</v>
      </c>
    </row>
    <row r="2222" spans="2:2">
      <c r="B2222" s="115">
        <v>855400</v>
      </c>
    </row>
    <row r="2223" spans="2:2">
      <c r="B2223" s="117">
        <v>855765</v>
      </c>
    </row>
    <row r="2224" spans="2:2">
      <c r="B2224" s="115">
        <v>856130</v>
      </c>
    </row>
    <row r="2225" spans="2:2">
      <c r="B2225" s="116">
        <v>856496</v>
      </c>
    </row>
    <row r="2226" spans="2:2">
      <c r="B2226" s="115">
        <v>856861</v>
      </c>
    </row>
    <row r="2227" spans="2:2">
      <c r="B2227" s="116">
        <v>857226</v>
      </c>
    </row>
    <row r="2228" spans="2:2">
      <c r="B2228" s="115">
        <v>857591</v>
      </c>
    </row>
    <row r="2229" spans="2:2">
      <c r="B2229" s="116">
        <v>857957</v>
      </c>
    </row>
    <row r="2230" spans="2:2">
      <c r="B2230" s="115">
        <v>858322</v>
      </c>
    </row>
    <row r="2231" spans="2:2">
      <c r="B2231" s="116">
        <v>858687</v>
      </c>
    </row>
    <row r="2232" spans="2:2">
      <c r="B2232" s="115">
        <v>859052</v>
      </c>
    </row>
    <row r="2233" spans="2:2">
      <c r="B2233" s="117">
        <v>859418</v>
      </c>
    </row>
    <row r="2234" spans="2:2">
      <c r="B2234" s="115">
        <v>859783</v>
      </c>
    </row>
    <row r="2235" spans="2:2">
      <c r="B2235" s="117">
        <v>860148</v>
      </c>
    </row>
    <row r="2236" spans="2:2">
      <c r="B2236" s="115">
        <v>860513</v>
      </c>
    </row>
    <row r="2237" spans="2:2">
      <c r="B2237" s="116">
        <v>860879</v>
      </c>
    </row>
    <row r="2238" spans="2:2">
      <c r="B2238" s="115">
        <v>861244</v>
      </c>
    </row>
    <row r="2239" spans="2:2">
      <c r="B2239" s="116">
        <v>861609</v>
      </c>
    </row>
    <row r="2240" spans="2:2">
      <c r="B2240" s="115">
        <v>861974</v>
      </c>
    </row>
    <row r="2241" spans="2:2">
      <c r="B2241" s="116">
        <v>862340</v>
      </c>
    </row>
    <row r="2242" spans="2:2">
      <c r="B2242" s="115">
        <v>862705</v>
      </c>
    </row>
    <row r="2243" spans="2:2">
      <c r="B2243" s="116">
        <v>863070</v>
      </c>
    </row>
    <row r="2244" spans="2:2">
      <c r="B2244" s="115">
        <v>863435</v>
      </c>
    </row>
    <row r="2245" spans="2:2">
      <c r="B2245" s="117">
        <v>863801</v>
      </c>
    </row>
    <row r="2246" spans="2:2">
      <c r="B2246" s="115">
        <v>864166</v>
      </c>
    </row>
    <row r="2247" spans="2:2">
      <c r="B2247" s="117">
        <v>864531</v>
      </c>
    </row>
    <row r="2248" spans="2:2">
      <c r="B2248" s="115">
        <v>864896</v>
      </c>
    </row>
    <row r="2249" spans="2:2">
      <c r="B2249" s="116">
        <v>865262</v>
      </c>
    </row>
    <row r="2250" spans="2:2">
      <c r="B2250" s="115">
        <v>865627</v>
      </c>
    </row>
    <row r="2251" spans="2:2">
      <c r="B2251" s="116">
        <v>865992</v>
      </c>
    </row>
    <row r="2252" spans="2:2">
      <c r="B2252" s="115">
        <v>866357</v>
      </c>
    </row>
    <row r="2253" spans="2:2">
      <c r="B2253" s="116">
        <v>866723</v>
      </c>
    </row>
    <row r="2254" spans="2:2">
      <c r="B2254" s="115">
        <v>867088</v>
      </c>
    </row>
    <row r="2255" spans="2:2">
      <c r="B2255" s="116">
        <v>867453</v>
      </c>
    </row>
    <row r="2256" spans="2:2">
      <c r="B2256" s="115">
        <v>867818</v>
      </c>
    </row>
    <row r="2257" spans="2:2">
      <c r="B2257" s="117">
        <v>868184</v>
      </c>
    </row>
    <row r="2258" spans="2:2">
      <c r="B2258" s="115">
        <v>868549</v>
      </c>
    </row>
    <row r="2259" spans="2:2">
      <c r="B2259" s="117">
        <v>868914</v>
      </c>
    </row>
    <row r="2260" spans="2:2">
      <c r="B2260" s="115">
        <v>869279</v>
      </c>
    </row>
    <row r="2261" spans="2:2">
      <c r="B2261" s="116">
        <v>869645</v>
      </c>
    </row>
    <row r="2262" spans="2:2">
      <c r="B2262" s="115">
        <v>870010</v>
      </c>
    </row>
    <row r="2263" spans="2:2">
      <c r="B2263" s="116">
        <v>870375</v>
      </c>
    </row>
    <row r="2264" spans="2:2">
      <c r="B2264" s="115">
        <v>870740</v>
      </c>
    </row>
    <row r="2265" spans="2:2">
      <c r="B2265" s="116">
        <v>871106</v>
      </c>
    </row>
    <row r="2266" spans="2:2">
      <c r="B2266" s="115">
        <v>871471</v>
      </c>
    </row>
    <row r="2267" spans="2:2">
      <c r="B2267" s="116">
        <v>871836</v>
      </c>
    </row>
    <row r="2268" spans="2:2">
      <c r="B2268" s="115">
        <v>872201</v>
      </c>
    </row>
    <row r="2269" spans="2:2">
      <c r="B2269" s="117">
        <v>872567</v>
      </c>
    </row>
    <row r="2270" spans="2:2">
      <c r="B2270" s="115">
        <v>872932</v>
      </c>
    </row>
    <row r="2271" spans="2:2">
      <c r="B2271" s="117">
        <v>873297</v>
      </c>
    </row>
    <row r="2272" spans="2:2">
      <c r="B2272" s="115">
        <v>873662</v>
      </c>
    </row>
    <row r="2273" spans="2:2">
      <c r="B2273" s="116">
        <v>874028</v>
      </c>
    </row>
    <row r="2274" spans="2:2">
      <c r="B2274" s="115">
        <v>874393</v>
      </c>
    </row>
    <row r="2275" spans="2:2">
      <c r="B2275" s="116">
        <v>874758</v>
      </c>
    </row>
    <row r="2276" spans="2:2">
      <c r="B2276" s="115">
        <v>875123</v>
      </c>
    </row>
    <row r="2277" spans="2:2">
      <c r="B2277" s="116">
        <v>875489</v>
      </c>
    </row>
    <row r="2278" spans="2:2">
      <c r="B2278" s="115">
        <v>875854</v>
      </c>
    </row>
    <row r="2279" spans="2:2">
      <c r="B2279" s="116">
        <v>876219</v>
      </c>
    </row>
    <row r="2280" spans="2:2">
      <c r="B2280" s="115">
        <v>876584</v>
      </c>
    </row>
    <row r="2281" spans="2:2">
      <c r="B2281" s="117">
        <v>876949</v>
      </c>
    </row>
    <row r="2282" spans="2:2">
      <c r="B2282" s="115">
        <v>877314</v>
      </c>
    </row>
    <row r="2283" spans="2:2">
      <c r="B2283" s="117">
        <v>877679</v>
      </c>
    </row>
    <row r="2284" spans="2:2">
      <c r="B2284" s="115">
        <v>878044</v>
      </c>
    </row>
    <row r="2285" spans="2:2">
      <c r="B2285" s="116">
        <v>878410</v>
      </c>
    </row>
    <row r="2286" spans="2:2">
      <c r="B2286" s="115">
        <v>878775</v>
      </c>
    </row>
    <row r="2287" spans="2:2">
      <c r="B2287" s="116">
        <v>879140</v>
      </c>
    </row>
    <row r="2288" spans="2:2">
      <c r="B2288" s="115">
        <v>879505</v>
      </c>
    </row>
    <row r="2289" spans="2:2">
      <c r="B2289" s="116">
        <v>879871</v>
      </c>
    </row>
    <row r="2290" spans="2:2">
      <c r="B2290" s="115">
        <v>880236</v>
      </c>
    </row>
    <row r="2291" spans="2:2">
      <c r="B2291" s="116">
        <v>880601</v>
      </c>
    </row>
    <row r="2292" spans="2:2">
      <c r="B2292" s="115">
        <v>880966</v>
      </c>
    </row>
    <row r="2293" spans="2:2">
      <c r="B2293" s="117">
        <v>881332</v>
      </c>
    </row>
    <row r="2294" spans="2:2">
      <c r="B2294" s="115">
        <v>881697</v>
      </c>
    </row>
    <row r="2295" spans="2:2">
      <c r="B2295" s="117">
        <v>882062</v>
      </c>
    </row>
    <row r="2296" spans="2:2">
      <c r="B2296" s="115">
        <v>882427</v>
      </c>
    </row>
    <row r="2297" spans="2:2">
      <c r="B2297" s="116">
        <v>882793</v>
      </c>
    </row>
    <row r="2298" spans="2:2">
      <c r="B2298" s="115">
        <v>883158</v>
      </c>
    </row>
    <row r="2299" spans="2:2">
      <c r="B2299" s="116">
        <v>883523</v>
      </c>
    </row>
    <row r="2300" spans="2:2">
      <c r="B2300" s="115">
        <v>883888</v>
      </c>
    </row>
    <row r="2301" spans="2:2">
      <c r="B2301" s="116">
        <v>884254</v>
      </c>
    </row>
    <row r="2302" spans="2:2">
      <c r="B2302" s="115">
        <v>884619</v>
      </c>
    </row>
    <row r="2303" spans="2:2">
      <c r="B2303" s="116">
        <v>884984</v>
      </c>
    </row>
    <row r="2304" spans="2:2">
      <c r="B2304" s="115">
        <v>885349</v>
      </c>
    </row>
    <row r="2305" spans="2:2">
      <c r="B2305" s="117">
        <v>885715</v>
      </c>
    </row>
    <row r="2306" spans="2:2">
      <c r="B2306" s="115">
        <v>886080</v>
      </c>
    </row>
    <row r="2307" spans="2:2">
      <c r="B2307" s="117">
        <v>886445</v>
      </c>
    </row>
    <row r="2308" spans="2:2">
      <c r="B2308" s="115">
        <v>886810</v>
      </c>
    </row>
    <row r="2309" spans="2:2">
      <c r="B2309" s="116">
        <v>887176</v>
      </c>
    </row>
    <row r="2310" spans="2:2">
      <c r="B2310" s="115">
        <v>887541</v>
      </c>
    </row>
    <row r="2311" spans="2:2">
      <c r="B2311" s="116">
        <v>887906</v>
      </c>
    </row>
    <row r="2312" spans="2:2">
      <c r="B2312" s="115">
        <v>888271</v>
      </c>
    </row>
    <row r="2313" spans="2:2">
      <c r="B2313" s="116">
        <v>888637</v>
      </c>
    </row>
    <row r="2314" spans="2:2">
      <c r="B2314" s="115">
        <v>889002</v>
      </c>
    </row>
    <row r="2315" spans="2:2">
      <c r="B2315" s="116">
        <v>889367</v>
      </c>
    </row>
    <row r="2316" spans="2:2">
      <c r="B2316" s="115">
        <v>889732</v>
      </c>
    </row>
    <row r="2317" spans="2:2">
      <c r="B2317" s="117">
        <v>890098</v>
      </c>
    </row>
    <row r="2318" spans="2:2">
      <c r="B2318" s="115">
        <v>890463</v>
      </c>
    </row>
    <row r="2319" spans="2:2">
      <c r="B2319" s="117">
        <v>890828</v>
      </c>
    </row>
    <row r="2320" spans="2:2">
      <c r="B2320" s="115">
        <v>891193</v>
      </c>
    </row>
    <row r="2321" spans="2:2">
      <c r="B2321" s="116">
        <v>891559</v>
      </c>
    </row>
    <row r="2322" spans="2:2">
      <c r="B2322" s="115">
        <v>891924</v>
      </c>
    </row>
    <row r="2323" spans="2:2">
      <c r="B2323" s="116">
        <v>892289</v>
      </c>
    </row>
    <row r="2324" spans="2:2">
      <c r="B2324" s="115">
        <v>892654</v>
      </c>
    </row>
    <row r="2325" spans="2:2">
      <c r="B2325" s="116">
        <v>893020</v>
      </c>
    </row>
    <row r="2326" spans="2:2">
      <c r="B2326" s="115">
        <v>893385</v>
      </c>
    </row>
    <row r="2327" spans="2:2">
      <c r="B2327" s="116">
        <v>893750</v>
      </c>
    </row>
    <row r="2328" spans="2:2">
      <c r="B2328" s="115">
        <v>894115</v>
      </c>
    </row>
    <row r="2329" spans="2:2">
      <c r="B2329" s="117">
        <v>894481</v>
      </c>
    </row>
    <row r="2330" spans="2:2">
      <c r="B2330" s="115">
        <v>894846</v>
      </c>
    </row>
    <row r="2331" spans="2:2">
      <c r="B2331" s="117">
        <v>895211</v>
      </c>
    </row>
    <row r="2332" spans="2:2">
      <c r="B2332" s="115">
        <v>895576</v>
      </c>
    </row>
    <row r="2333" spans="2:2">
      <c r="B2333" s="116">
        <v>895942</v>
      </c>
    </row>
    <row r="2334" spans="2:2">
      <c r="B2334" s="115">
        <v>896307</v>
      </c>
    </row>
    <row r="2335" spans="2:2">
      <c r="B2335" s="116">
        <v>896672</v>
      </c>
    </row>
    <row r="2336" spans="2:2">
      <c r="B2336" s="115">
        <v>897037</v>
      </c>
    </row>
    <row r="2337" spans="2:2">
      <c r="B2337" s="116">
        <v>897403</v>
      </c>
    </row>
    <row r="2338" spans="2:2">
      <c r="B2338" s="115">
        <v>897768</v>
      </c>
    </row>
    <row r="2339" spans="2:2">
      <c r="B2339" s="116">
        <v>898133</v>
      </c>
    </row>
    <row r="2340" spans="2:2">
      <c r="B2340" s="115">
        <v>898498</v>
      </c>
    </row>
    <row r="2341" spans="2:2">
      <c r="B2341" s="117">
        <v>898864</v>
      </c>
    </row>
    <row r="2342" spans="2:2">
      <c r="B2342" s="115">
        <v>899229</v>
      </c>
    </row>
    <row r="2343" spans="2:2">
      <c r="B2343" s="117">
        <v>899594</v>
      </c>
    </row>
    <row r="2344" spans="2:2">
      <c r="B2344" s="115">
        <v>899959</v>
      </c>
    </row>
    <row r="2345" spans="2:2">
      <c r="B2345" s="116">
        <v>900325</v>
      </c>
    </row>
    <row r="2346" spans="2:2">
      <c r="B2346" s="115">
        <v>900690</v>
      </c>
    </row>
    <row r="2347" spans="2:2">
      <c r="B2347" s="116">
        <v>901055</v>
      </c>
    </row>
    <row r="2348" spans="2:2">
      <c r="B2348" s="115">
        <v>901420</v>
      </c>
    </row>
    <row r="2349" spans="2:2">
      <c r="B2349" s="116">
        <v>901786</v>
      </c>
    </row>
    <row r="2350" spans="2:2">
      <c r="B2350" s="115">
        <v>902151</v>
      </c>
    </row>
    <row r="2351" spans="2:2">
      <c r="B2351" s="116">
        <v>902516</v>
      </c>
    </row>
    <row r="2352" spans="2:2">
      <c r="B2352" s="115">
        <v>902881</v>
      </c>
    </row>
    <row r="2353" spans="2:2">
      <c r="B2353" s="117">
        <v>903247</v>
      </c>
    </row>
    <row r="2354" spans="2:2">
      <c r="B2354" s="115">
        <v>903612</v>
      </c>
    </row>
    <row r="2355" spans="2:2">
      <c r="B2355" s="117">
        <v>903977</v>
      </c>
    </row>
    <row r="2356" spans="2:2">
      <c r="B2356" s="115">
        <v>904342</v>
      </c>
    </row>
    <row r="2357" spans="2:2">
      <c r="B2357" s="116">
        <v>904708</v>
      </c>
    </row>
    <row r="2358" spans="2:2">
      <c r="B2358" s="115">
        <v>905073</v>
      </c>
    </row>
    <row r="2359" spans="2:2">
      <c r="B2359" s="116">
        <v>905438</v>
      </c>
    </row>
    <row r="2360" spans="2:2">
      <c r="B2360" s="115">
        <v>905803</v>
      </c>
    </row>
    <row r="2361" spans="2:2">
      <c r="B2361" s="116">
        <v>906169</v>
      </c>
    </row>
    <row r="2362" spans="2:2">
      <c r="B2362" s="115">
        <v>906534</v>
      </c>
    </row>
    <row r="2363" spans="2:2">
      <c r="B2363" s="116">
        <v>906899</v>
      </c>
    </row>
    <row r="2364" spans="2:2">
      <c r="B2364" s="115">
        <v>907264</v>
      </c>
    </row>
    <row r="2365" spans="2:2">
      <c r="B2365" s="117">
        <v>907630</v>
      </c>
    </row>
    <row r="2366" spans="2:2">
      <c r="B2366" s="115">
        <v>907995</v>
      </c>
    </row>
    <row r="2367" spans="2:2">
      <c r="B2367" s="117">
        <v>908360</v>
      </c>
    </row>
    <row r="2368" spans="2:2">
      <c r="B2368" s="115">
        <v>908725</v>
      </c>
    </row>
    <row r="2369" spans="2:2">
      <c r="B2369" s="116">
        <v>909091</v>
      </c>
    </row>
    <row r="2370" spans="2:2">
      <c r="B2370" s="115">
        <v>909456</v>
      </c>
    </row>
    <row r="2371" spans="2:2">
      <c r="B2371" s="116">
        <v>909821</v>
      </c>
    </row>
    <row r="2372" spans="2:2">
      <c r="B2372" s="115">
        <v>910186</v>
      </c>
    </row>
    <row r="2373" spans="2:2">
      <c r="B2373" s="116">
        <v>910552</v>
      </c>
    </row>
    <row r="2374" spans="2:2">
      <c r="B2374" s="115">
        <v>910917</v>
      </c>
    </row>
    <row r="2375" spans="2:2">
      <c r="B2375" s="116">
        <v>911282</v>
      </c>
    </row>
    <row r="2376" spans="2:2">
      <c r="B2376" s="115">
        <v>911647</v>
      </c>
    </row>
    <row r="2377" spans="2:2">
      <c r="B2377" s="117">
        <v>912013</v>
      </c>
    </row>
    <row r="2378" spans="2:2">
      <c r="B2378" s="115">
        <v>912378</v>
      </c>
    </row>
    <row r="2379" spans="2:2">
      <c r="B2379" s="117">
        <v>912743</v>
      </c>
    </row>
    <row r="2380" spans="2:2">
      <c r="B2380" s="115">
        <v>913108</v>
      </c>
    </row>
    <row r="2381" spans="2:2">
      <c r="B2381" s="116">
        <v>913474</v>
      </c>
    </row>
    <row r="2382" spans="2:2">
      <c r="B2382" s="115">
        <v>913839</v>
      </c>
    </row>
    <row r="2383" spans="2:2">
      <c r="B2383" s="116">
        <v>914204</v>
      </c>
    </row>
    <row r="2384" spans="2:2">
      <c r="B2384" s="115">
        <v>914569</v>
      </c>
    </row>
    <row r="2385" spans="2:2">
      <c r="B2385" s="116">
        <v>914935</v>
      </c>
    </row>
    <row r="2386" spans="2:2">
      <c r="B2386" s="115">
        <v>915300</v>
      </c>
    </row>
    <row r="2387" spans="2:2">
      <c r="B2387" s="116">
        <v>915665</v>
      </c>
    </row>
    <row r="2388" spans="2:2">
      <c r="B2388" s="115">
        <v>916030</v>
      </c>
    </row>
    <row r="2389" spans="2:2">
      <c r="B2389" s="117">
        <v>916396</v>
      </c>
    </row>
    <row r="2390" spans="2:2">
      <c r="B2390" s="115">
        <v>916761</v>
      </c>
    </row>
    <row r="2391" spans="2:2">
      <c r="B2391" s="117">
        <v>917126</v>
      </c>
    </row>
    <row r="2392" spans="2:2">
      <c r="B2392" s="115">
        <v>917491</v>
      </c>
    </row>
    <row r="2393" spans="2:2">
      <c r="B2393" s="116">
        <v>917857</v>
      </c>
    </row>
    <row r="2394" spans="2:2">
      <c r="B2394" s="115">
        <v>918222</v>
      </c>
    </row>
    <row r="2395" spans="2:2">
      <c r="B2395" s="116">
        <v>918587</v>
      </c>
    </row>
    <row r="2396" spans="2:2">
      <c r="B2396" s="115">
        <v>918952</v>
      </c>
    </row>
    <row r="2397" spans="2:2">
      <c r="B2397" s="116">
        <v>919318</v>
      </c>
    </row>
    <row r="2398" spans="2:2">
      <c r="B2398" s="115">
        <v>919683</v>
      </c>
    </row>
    <row r="2399" spans="2:2">
      <c r="B2399" s="116">
        <v>920048</v>
      </c>
    </row>
    <row r="2400" spans="2:2">
      <c r="B2400" s="115">
        <v>920413</v>
      </c>
    </row>
    <row r="2401" spans="2:2">
      <c r="B2401" s="117">
        <v>920779</v>
      </c>
    </row>
    <row r="2402" spans="2:2">
      <c r="B2402" s="115">
        <v>921144</v>
      </c>
    </row>
    <row r="2403" spans="2:2">
      <c r="B2403" s="117">
        <v>921509</v>
      </c>
    </row>
    <row r="2404" spans="2:2">
      <c r="B2404" s="115">
        <v>921874</v>
      </c>
    </row>
    <row r="2405" spans="2:2">
      <c r="B2405" s="116">
        <v>922240</v>
      </c>
    </row>
    <row r="2406" spans="2:2">
      <c r="B2406" s="115">
        <v>922605</v>
      </c>
    </row>
    <row r="2407" spans="2:2">
      <c r="B2407" s="116">
        <v>922970</v>
      </c>
    </row>
    <row r="2408" spans="2:2">
      <c r="B2408" s="115">
        <v>923335</v>
      </c>
    </row>
    <row r="2409" spans="2:2">
      <c r="B2409" s="116">
        <v>923701</v>
      </c>
    </row>
    <row r="2410" spans="2:2">
      <c r="B2410" s="115">
        <v>924066</v>
      </c>
    </row>
    <row r="2411" spans="2:2">
      <c r="B2411" s="116">
        <v>924431</v>
      </c>
    </row>
    <row r="2412" spans="2:2">
      <c r="B2412" s="115">
        <v>924796</v>
      </c>
    </row>
    <row r="2413" spans="2:2">
      <c r="B2413" s="117">
        <v>925162</v>
      </c>
    </row>
    <row r="2414" spans="2:2">
      <c r="B2414" s="115">
        <v>925527</v>
      </c>
    </row>
    <row r="2415" spans="2:2">
      <c r="B2415" s="117">
        <v>925892</v>
      </c>
    </row>
    <row r="2416" spans="2:2">
      <c r="B2416" s="115">
        <v>926257</v>
      </c>
    </row>
    <row r="2417" spans="2:2">
      <c r="B2417" s="116">
        <v>926623</v>
      </c>
    </row>
    <row r="2418" spans="2:2">
      <c r="B2418" s="115">
        <v>926988</v>
      </c>
    </row>
    <row r="2419" spans="2:2">
      <c r="B2419" s="116">
        <v>927353</v>
      </c>
    </row>
    <row r="2420" spans="2:2">
      <c r="B2420" s="115">
        <v>927718</v>
      </c>
    </row>
    <row r="2421" spans="2:2">
      <c r="B2421" s="116">
        <v>928084</v>
      </c>
    </row>
    <row r="2422" spans="2:2">
      <c r="B2422" s="115">
        <v>928449</v>
      </c>
    </row>
    <row r="2423" spans="2:2">
      <c r="B2423" s="116">
        <v>928814</v>
      </c>
    </row>
    <row r="2424" spans="2:2">
      <c r="B2424" s="115">
        <v>929179</v>
      </c>
    </row>
    <row r="2425" spans="2:2">
      <c r="B2425" s="117">
        <v>929545</v>
      </c>
    </row>
    <row r="2426" spans="2:2">
      <c r="B2426" s="115">
        <v>929910</v>
      </c>
    </row>
    <row r="2427" spans="2:2">
      <c r="B2427" s="117">
        <v>930275</v>
      </c>
    </row>
    <row r="2428" spans="2:2">
      <c r="B2428" s="115">
        <v>930640</v>
      </c>
    </row>
    <row r="2429" spans="2:2">
      <c r="B2429" s="116">
        <v>931006</v>
      </c>
    </row>
    <row r="2430" spans="2:2">
      <c r="B2430" s="115">
        <v>931371</v>
      </c>
    </row>
    <row r="2431" spans="2:2">
      <c r="B2431" s="116">
        <v>931736</v>
      </c>
    </row>
    <row r="2432" spans="2:2">
      <c r="B2432" s="115">
        <v>932101</v>
      </c>
    </row>
    <row r="2433" spans="2:2">
      <c r="B2433" s="116">
        <v>932467</v>
      </c>
    </row>
    <row r="2434" spans="2:2">
      <c r="B2434" s="115">
        <v>932832</v>
      </c>
    </row>
    <row r="2435" spans="2:2">
      <c r="B2435" s="116">
        <v>933197</v>
      </c>
    </row>
    <row r="2436" spans="2:2">
      <c r="B2436" s="115">
        <v>933562</v>
      </c>
    </row>
    <row r="2437" spans="2:2">
      <c r="B2437" s="117">
        <v>933928</v>
      </c>
    </row>
    <row r="2438" spans="2:2">
      <c r="B2438" s="115">
        <v>934293</v>
      </c>
    </row>
    <row r="2439" spans="2:2">
      <c r="B2439" s="117">
        <v>934658</v>
      </c>
    </row>
    <row r="2440" spans="2:2">
      <c r="B2440" s="115">
        <v>935023</v>
      </c>
    </row>
    <row r="2441" spans="2:2">
      <c r="B2441" s="116">
        <v>935389</v>
      </c>
    </row>
    <row r="2442" spans="2:2">
      <c r="B2442" s="115">
        <v>935754</v>
      </c>
    </row>
    <row r="2443" spans="2:2">
      <c r="B2443" s="116">
        <v>936119</v>
      </c>
    </row>
    <row r="2444" spans="2:2">
      <c r="B2444" s="115">
        <v>936484</v>
      </c>
    </row>
    <row r="2445" spans="2:2">
      <c r="B2445" s="116">
        <v>936850</v>
      </c>
    </row>
    <row r="2446" spans="2:2">
      <c r="B2446" s="115">
        <v>937215</v>
      </c>
    </row>
    <row r="2447" spans="2:2">
      <c r="B2447" s="116">
        <v>937580</v>
      </c>
    </row>
    <row r="2448" spans="2:2">
      <c r="B2448" s="115">
        <v>937945</v>
      </c>
    </row>
    <row r="2449" spans="2:2">
      <c r="B2449" s="117">
        <v>938311</v>
      </c>
    </row>
    <row r="2450" spans="2:2">
      <c r="B2450" s="115">
        <v>938676</v>
      </c>
    </row>
    <row r="2451" spans="2:2">
      <c r="B2451" s="117">
        <v>939041</v>
      </c>
    </row>
    <row r="2452" spans="2:2">
      <c r="B2452" s="115">
        <v>939406</v>
      </c>
    </row>
    <row r="2453" spans="2:2">
      <c r="B2453" s="116">
        <v>939772</v>
      </c>
    </row>
    <row r="2454" spans="2:2">
      <c r="B2454" s="115">
        <v>940137</v>
      </c>
    </row>
    <row r="2455" spans="2:2">
      <c r="B2455" s="116">
        <v>940502</v>
      </c>
    </row>
    <row r="2456" spans="2:2">
      <c r="B2456" s="115">
        <v>940867</v>
      </c>
    </row>
    <row r="2457" spans="2:2">
      <c r="B2457" s="116">
        <v>941233</v>
      </c>
    </row>
    <row r="2458" spans="2:2">
      <c r="B2458" s="115">
        <v>941598</v>
      </c>
    </row>
    <row r="2459" spans="2:2">
      <c r="B2459" s="116">
        <v>941963</v>
      </c>
    </row>
    <row r="2460" spans="2:2">
      <c r="B2460" s="115">
        <v>942328</v>
      </c>
    </row>
    <row r="2461" spans="2:2">
      <c r="B2461" s="117">
        <v>942694</v>
      </c>
    </row>
    <row r="2462" spans="2:2">
      <c r="B2462" s="115">
        <v>943059</v>
      </c>
    </row>
    <row r="2463" spans="2:2">
      <c r="B2463" s="117">
        <v>943424</v>
      </c>
    </row>
    <row r="2464" spans="2:2">
      <c r="B2464" s="115">
        <v>943789</v>
      </c>
    </row>
    <row r="2465" spans="2:2">
      <c r="B2465" s="116">
        <v>944155</v>
      </c>
    </row>
    <row r="2466" spans="2:2">
      <c r="B2466" s="115">
        <v>944520</v>
      </c>
    </row>
    <row r="2467" spans="2:2">
      <c r="B2467" s="116">
        <v>944885</v>
      </c>
    </row>
    <row r="2468" spans="2:2">
      <c r="B2468" s="115">
        <v>945250</v>
      </c>
    </row>
    <row r="2469" spans="2:2">
      <c r="B2469" s="116">
        <v>945616</v>
      </c>
    </row>
    <row r="2470" spans="2:2">
      <c r="B2470" s="115">
        <v>945981</v>
      </c>
    </row>
    <row r="2471" spans="2:2">
      <c r="B2471" s="116">
        <v>946346</v>
      </c>
    </row>
    <row r="2472" spans="2:2">
      <c r="B2472" s="115">
        <v>946711</v>
      </c>
    </row>
    <row r="2473" spans="2:2">
      <c r="B2473" s="117">
        <v>947077</v>
      </c>
    </row>
    <row r="2474" spans="2:2">
      <c r="B2474" s="115">
        <v>947442</v>
      </c>
    </row>
    <row r="2475" spans="2:2">
      <c r="B2475" s="117">
        <v>947807</v>
      </c>
    </row>
    <row r="2476" spans="2:2">
      <c r="B2476" s="115">
        <v>948172</v>
      </c>
    </row>
    <row r="2477" spans="2:2">
      <c r="B2477" s="116">
        <v>948538</v>
      </c>
    </row>
    <row r="2478" spans="2:2">
      <c r="B2478" s="115">
        <v>948903</v>
      </c>
    </row>
    <row r="2479" spans="2:2">
      <c r="B2479" s="116">
        <v>949268</v>
      </c>
    </row>
    <row r="2480" spans="2:2">
      <c r="B2480" s="115">
        <v>949633</v>
      </c>
    </row>
    <row r="2481" spans="2:2">
      <c r="B2481" s="116">
        <v>949998</v>
      </c>
    </row>
    <row r="2482" spans="2:2">
      <c r="B2482" s="115">
        <v>950363</v>
      </c>
    </row>
    <row r="2483" spans="2:2">
      <c r="B2483" s="116">
        <v>950728</v>
      </c>
    </row>
    <row r="2484" spans="2:2">
      <c r="B2484" s="115">
        <v>951093</v>
      </c>
    </row>
    <row r="2485" spans="2:2">
      <c r="B2485" s="117">
        <v>951459</v>
      </c>
    </row>
    <row r="2486" spans="2:2">
      <c r="B2486" s="115">
        <v>951824</v>
      </c>
    </row>
    <row r="2487" spans="2:2">
      <c r="B2487" s="117">
        <v>952189</v>
      </c>
    </row>
    <row r="2488" spans="2:2">
      <c r="B2488" s="115">
        <v>952554</v>
      </c>
    </row>
    <row r="2489" spans="2:2">
      <c r="B2489" s="116">
        <v>952920</v>
      </c>
    </row>
    <row r="2490" spans="2:2">
      <c r="B2490" s="115">
        <v>953285</v>
      </c>
    </row>
    <row r="2491" spans="2:2">
      <c r="B2491" s="116">
        <v>953650</v>
      </c>
    </row>
    <row r="2492" spans="2:2">
      <c r="B2492" s="115">
        <v>954015</v>
      </c>
    </row>
    <row r="2493" spans="2:2">
      <c r="B2493" s="116">
        <v>954381</v>
      </c>
    </row>
    <row r="2494" spans="2:2">
      <c r="B2494" s="115">
        <v>954746</v>
      </c>
    </row>
    <row r="2495" spans="2:2">
      <c r="B2495" s="116">
        <v>955111</v>
      </c>
    </row>
    <row r="2496" spans="2:2">
      <c r="B2496" s="115">
        <v>955476</v>
      </c>
    </row>
    <row r="2497" spans="2:2">
      <c r="B2497" s="117">
        <v>955842</v>
      </c>
    </row>
    <row r="2498" spans="2:2">
      <c r="B2498" s="115">
        <v>956207</v>
      </c>
    </row>
    <row r="2499" spans="2:2">
      <c r="B2499" s="117">
        <v>956572</v>
      </c>
    </row>
    <row r="2500" spans="2:2">
      <c r="B2500" s="115">
        <v>956937</v>
      </c>
    </row>
    <row r="2501" spans="2:2">
      <c r="B2501" s="116">
        <v>957303</v>
      </c>
    </row>
    <row r="2502" spans="2:2">
      <c r="B2502" s="115">
        <v>957668</v>
      </c>
    </row>
    <row r="2503" spans="2:2">
      <c r="B2503" s="116">
        <v>958033</v>
      </c>
    </row>
    <row r="2504" spans="2:2">
      <c r="B2504" s="115">
        <v>958398</v>
      </c>
    </row>
    <row r="2505" spans="2:2">
      <c r="B2505" s="116">
        <v>958764</v>
      </c>
    </row>
    <row r="2506" spans="2:2">
      <c r="B2506" s="115">
        <v>959129</v>
      </c>
    </row>
    <row r="2507" spans="2:2">
      <c r="B2507" s="116">
        <v>959494</v>
      </c>
    </row>
    <row r="2508" spans="2:2">
      <c r="B2508" s="115">
        <v>959859</v>
      </c>
    </row>
    <row r="2509" spans="2:2">
      <c r="B2509" s="117">
        <v>960225</v>
      </c>
    </row>
    <row r="2510" spans="2:2">
      <c r="B2510" s="115">
        <v>960590</v>
      </c>
    </row>
    <row r="2511" spans="2:2">
      <c r="B2511" s="117">
        <v>960955</v>
      </c>
    </row>
    <row r="2512" spans="2:2">
      <c r="B2512" s="115">
        <v>961320</v>
      </c>
    </row>
    <row r="2513" spans="2:2">
      <c r="B2513" s="116">
        <v>961686</v>
      </c>
    </row>
    <row r="2514" spans="2:2">
      <c r="B2514" s="115">
        <v>962051</v>
      </c>
    </row>
    <row r="2515" spans="2:2">
      <c r="B2515" s="116">
        <v>962416</v>
      </c>
    </row>
    <row r="2516" spans="2:2">
      <c r="B2516" s="115">
        <v>962781</v>
      </c>
    </row>
    <row r="2517" spans="2:2">
      <c r="B2517" s="116">
        <v>963147</v>
      </c>
    </row>
    <row r="2518" spans="2:2">
      <c r="B2518" s="115">
        <v>963512</v>
      </c>
    </row>
    <row r="2519" spans="2:2">
      <c r="B2519" s="116">
        <v>963877</v>
      </c>
    </row>
    <row r="2520" spans="2:2">
      <c r="B2520" s="115">
        <v>964242</v>
      </c>
    </row>
    <row r="2521" spans="2:2">
      <c r="B2521" s="117">
        <v>964608</v>
      </c>
    </row>
    <row r="2522" spans="2:2">
      <c r="B2522" s="115">
        <v>964973</v>
      </c>
    </row>
    <row r="2523" spans="2:2">
      <c r="B2523" s="117">
        <v>965338</v>
      </c>
    </row>
    <row r="2524" spans="2:2">
      <c r="B2524" s="115">
        <v>965703</v>
      </c>
    </row>
    <row r="2525" spans="2:2">
      <c r="B2525" s="116">
        <v>966069</v>
      </c>
    </row>
    <row r="2526" spans="2:2">
      <c r="B2526" s="115">
        <v>966434</v>
      </c>
    </row>
    <row r="2527" spans="2:2">
      <c r="B2527" s="116">
        <v>966799</v>
      </c>
    </row>
    <row r="2528" spans="2:2">
      <c r="B2528" s="115">
        <v>967164</v>
      </c>
    </row>
    <row r="2529" spans="2:2">
      <c r="B2529" s="116">
        <v>967530</v>
      </c>
    </row>
    <row r="2530" spans="2:2">
      <c r="B2530" s="115">
        <v>967895</v>
      </c>
    </row>
    <row r="2531" spans="2:2">
      <c r="B2531" s="116">
        <v>968260</v>
      </c>
    </row>
    <row r="2532" spans="2:2">
      <c r="B2532" s="115">
        <v>968625</v>
      </c>
    </row>
    <row r="2533" spans="2:2">
      <c r="B2533" s="117">
        <v>968991</v>
      </c>
    </row>
    <row r="2534" spans="2:2">
      <c r="B2534" s="115">
        <v>969356</v>
      </c>
    </row>
    <row r="2535" spans="2:2">
      <c r="B2535" s="117">
        <v>969721</v>
      </c>
    </row>
    <row r="2536" spans="2:2">
      <c r="B2536" s="115">
        <v>970086</v>
      </c>
    </row>
    <row r="2537" spans="2:2">
      <c r="B2537" s="116">
        <v>970452</v>
      </c>
    </row>
    <row r="2538" spans="2:2">
      <c r="B2538" s="115">
        <v>970817</v>
      </c>
    </row>
    <row r="2539" spans="2:2">
      <c r="B2539" s="116">
        <v>971182</v>
      </c>
    </row>
    <row r="2540" spans="2:2">
      <c r="B2540" s="115">
        <v>971547</v>
      </c>
    </row>
    <row r="2541" spans="2:2">
      <c r="B2541" s="116">
        <v>971913</v>
      </c>
    </row>
    <row r="2542" spans="2:2">
      <c r="B2542" s="115">
        <v>972278</v>
      </c>
    </row>
    <row r="2543" spans="2:2">
      <c r="B2543" s="116">
        <v>972643</v>
      </c>
    </row>
    <row r="2544" spans="2:2">
      <c r="B2544" s="115">
        <v>973008</v>
      </c>
    </row>
    <row r="2545" spans="2:2">
      <c r="B2545" s="117">
        <v>973374</v>
      </c>
    </row>
    <row r="2546" spans="2:2">
      <c r="B2546" s="115">
        <v>973739</v>
      </c>
    </row>
    <row r="2547" spans="2:2">
      <c r="B2547" s="117">
        <v>974104</v>
      </c>
    </row>
    <row r="2548" spans="2:2">
      <c r="B2548" s="115">
        <v>974469</v>
      </c>
    </row>
    <row r="2549" spans="2:2">
      <c r="B2549" s="116">
        <v>974835</v>
      </c>
    </row>
    <row r="2550" spans="2:2">
      <c r="B2550" s="115">
        <v>975200</v>
      </c>
    </row>
    <row r="2551" spans="2:2">
      <c r="B2551" s="116">
        <v>975565</v>
      </c>
    </row>
    <row r="2552" spans="2:2">
      <c r="B2552" s="115">
        <v>975930</v>
      </c>
    </row>
    <row r="2553" spans="2:2">
      <c r="B2553" s="116">
        <v>976296</v>
      </c>
    </row>
    <row r="2554" spans="2:2">
      <c r="B2554" s="115">
        <v>976661</v>
      </c>
    </row>
    <row r="2555" spans="2:2">
      <c r="B2555" s="116">
        <v>977026</v>
      </c>
    </row>
    <row r="2556" spans="2:2">
      <c r="B2556" s="115">
        <v>977391</v>
      </c>
    </row>
    <row r="2557" spans="2:2">
      <c r="B2557" s="117">
        <v>977757</v>
      </c>
    </row>
    <row r="2558" spans="2:2">
      <c r="B2558" s="115">
        <v>978122</v>
      </c>
    </row>
    <row r="2559" spans="2:2">
      <c r="B2559" s="117">
        <v>978487</v>
      </c>
    </row>
    <row r="2560" spans="2:2">
      <c r="B2560" s="115">
        <v>978852</v>
      </c>
    </row>
    <row r="2561" spans="2:2">
      <c r="B2561" s="116">
        <v>979218</v>
      </c>
    </row>
    <row r="2562" spans="2:2">
      <c r="B2562" s="115">
        <v>979583</v>
      </c>
    </row>
    <row r="2563" spans="2:2">
      <c r="B2563" s="116">
        <v>979948</v>
      </c>
    </row>
    <row r="2564" spans="2:2">
      <c r="B2564" s="115">
        <v>980313</v>
      </c>
    </row>
    <row r="2565" spans="2:2">
      <c r="B2565" s="116">
        <v>980679</v>
      </c>
    </row>
    <row r="2566" spans="2:2">
      <c r="B2566" s="115">
        <v>981044</v>
      </c>
    </row>
    <row r="2567" spans="2:2">
      <c r="B2567" s="116">
        <v>981409</v>
      </c>
    </row>
    <row r="2568" spans="2:2">
      <c r="B2568" s="115">
        <v>981774</v>
      </c>
    </row>
    <row r="2569" spans="2:2">
      <c r="B2569" s="117">
        <v>982140</v>
      </c>
    </row>
    <row r="2570" spans="2:2">
      <c r="B2570" s="115">
        <v>982505</v>
      </c>
    </row>
    <row r="2571" spans="2:2">
      <c r="B2571" s="117">
        <v>982870</v>
      </c>
    </row>
    <row r="2572" spans="2:2">
      <c r="B2572" s="115">
        <v>983235</v>
      </c>
    </row>
    <row r="2573" spans="2:2">
      <c r="B2573" s="116">
        <v>983601</v>
      </c>
    </row>
    <row r="2574" spans="2:2">
      <c r="B2574" s="115">
        <v>983966</v>
      </c>
    </row>
    <row r="2575" spans="2:2">
      <c r="B2575" s="116">
        <v>984331</v>
      </c>
    </row>
    <row r="2576" spans="2:2">
      <c r="B2576" s="115">
        <v>984696</v>
      </c>
    </row>
    <row r="2577" spans="2:2">
      <c r="B2577" s="116">
        <v>985062</v>
      </c>
    </row>
    <row r="2578" spans="2:2">
      <c r="B2578" s="115">
        <v>985427</v>
      </c>
    </row>
    <row r="2579" spans="2:2">
      <c r="B2579" s="116">
        <v>985792</v>
      </c>
    </row>
    <row r="2580" spans="2:2">
      <c r="B2580" s="115">
        <v>986157</v>
      </c>
    </row>
    <row r="2581" spans="2:2">
      <c r="B2581" s="117">
        <v>986522</v>
      </c>
    </row>
    <row r="2582" spans="2:2">
      <c r="B2582" s="115">
        <v>986887</v>
      </c>
    </row>
    <row r="2583" spans="2:2">
      <c r="B2583" s="117">
        <v>987252</v>
      </c>
    </row>
    <row r="2584" spans="2:2">
      <c r="B2584" s="115">
        <v>987617</v>
      </c>
    </row>
    <row r="2585" spans="2:2">
      <c r="B2585" s="116">
        <v>987983</v>
      </c>
    </row>
    <row r="2586" spans="2:2">
      <c r="B2586" s="115">
        <v>988348</v>
      </c>
    </row>
    <row r="2587" spans="2:2">
      <c r="B2587" s="116">
        <v>988713</v>
      </c>
    </row>
    <row r="2588" spans="2:2">
      <c r="B2588" s="115">
        <v>989078</v>
      </c>
    </row>
    <row r="2589" spans="2:2">
      <c r="B2589" s="116">
        <v>989444</v>
      </c>
    </row>
    <row r="2590" spans="2:2">
      <c r="B2590" s="115">
        <v>989809</v>
      </c>
    </row>
    <row r="2591" spans="2:2">
      <c r="B2591" s="116">
        <v>990174</v>
      </c>
    </row>
    <row r="2592" spans="2:2">
      <c r="B2592" s="115">
        <v>990539</v>
      </c>
    </row>
    <row r="2593" spans="2:2">
      <c r="B2593" s="117">
        <v>990905</v>
      </c>
    </row>
    <row r="2594" spans="2:2">
      <c r="B2594" s="115">
        <v>991270</v>
      </c>
    </row>
    <row r="2595" spans="2:2">
      <c r="B2595" s="117">
        <v>991635</v>
      </c>
    </row>
    <row r="2596" spans="2:2">
      <c r="B2596" s="115">
        <v>992000</v>
      </c>
    </row>
    <row r="2597" spans="2:2">
      <c r="B2597" s="116">
        <v>992366</v>
      </c>
    </row>
    <row r="2598" spans="2:2">
      <c r="B2598" s="115">
        <v>992731</v>
      </c>
    </row>
    <row r="2599" spans="2:2">
      <c r="B2599" s="116">
        <v>993096</v>
      </c>
    </row>
    <row r="2600" spans="2:2">
      <c r="B2600" s="115">
        <v>993461</v>
      </c>
    </row>
    <row r="2601" spans="2:2">
      <c r="B2601" s="116">
        <v>993827</v>
      </c>
    </row>
    <row r="2602" spans="2:2">
      <c r="B2602" s="115">
        <v>994192</v>
      </c>
    </row>
    <row r="2603" spans="2:2">
      <c r="B2603" s="116">
        <v>994557</v>
      </c>
    </row>
    <row r="2604" spans="2:2">
      <c r="B2604" s="115">
        <v>994922</v>
      </c>
    </row>
    <row r="2605" spans="2:2">
      <c r="B2605" s="117">
        <v>995288</v>
      </c>
    </row>
    <row r="2606" spans="2:2">
      <c r="B2606" s="115">
        <v>995653</v>
      </c>
    </row>
    <row r="2607" spans="2:2">
      <c r="B2607" s="117">
        <v>996018</v>
      </c>
    </row>
    <row r="2608" spans="2:2">
      <c r="B2608" s="115">
        <v>996383</v>
      </c>
    </row>
    <row r="2609" spans="2:2">
      <c r="B2609" s="116">
        <v>996749</v>
      </c>
    </row>
    <row r="2610" spans="2:2">
      <c r="B2610" s="115">
        <v>997114</v>
      </c>
    </row>
    <row r="2611" spans="2:2">
      <c r="B2611" s="116">
        <v>997479</v>
      </c>
    </row>
    <row r="2612" spans="2:2">
      <c r="B2612" s="115">
        <v>997844</v>
      </c>
    </row>
    <row r="2613" spans="2:2">
      <c r="B2613" s="116">
        <v>998210</v>
      </c>
    </row>
    <row r="2614" spans="2:2">
      <c r="B2614" s="115">
        <v>998575</v>
      </c>
    </row>
    <row r="2615" spans="2:2">
      <c r="B2615" s="116">
        <v>998940</v>
      </c>
    </row>
    <row r="2616" spans="2:2">
      <c r="B2616" s="115">
        <v>999305</v>
      </c>
    </row>
    <row r="2617" spans="2:2">
      <c r="B2617" s="117">
        <v>999671</v>
      </c>
    </row>
    <row r="2618" spans="2:2">
      <c r="B2618" s="115">
        <v>1000036</v>
      </c>
    </row>
    <row r="2619" spans="2:2">
      <c r="B2619" s="117">
        <v>1000401</v>
      </c>
    </row>
    <row r="2620" spans="2:2">
      <c r="B2620" s="115">
        <v>1000766</v>
      </c>
    </row>
    <row r="2621" spans="2:2">
      <c r="B2621" s="116">
        <v>1001132</v>
      </c>
    </row>
    <row r="2622" spans="2:2">
      <c r="B2622" s="115">
        <v>1001497</v>
      </c>
    </row>
    <row r="2623" spans="2:2">
      <c r="B2623" s="116">
        <v>1001862</v>
      </c>
    </row>
    <row r="2624" spans="2:2">
      <c r="B2624" s="115">
        <v>1002227</v>
      </c>
    </row>
    <row r="2625" spans="2:2">
      <c r="B2625" s="116">
        <v>1002593</v>
      </c>
    </row>
    <row r="2626" spans="2:2">
      <c r="B2626" s="115">
        <v>1002958</v>
      </c>
    </row>
    <row r="2627" spans="2:2">
      <c r="B2627" s="116">
        <v>1003323</v>
      </c>
    </row>
    <row r="2628" spans="2:2">
      <c r="B2628" s="115">
        <v>1003688</v>
      </c>
    </row>
    <row r="2629" spans="2:2">
      <c r="B2629" s="117">
        <v>1004054</v>
      </c>
    </row>
    <row r="2630" spans="2:2">
      <c r="B2630" s="115">
        <v>1004419</v>
      </c>
    </row>
    <row r="2631" spans="2:2">
      <c r="B2631" s="117">
        <v>1004784</v>
      </c>
    </row>
    <row r="2632" spans="2:2">
      <c r="B2632" s="115">
        <v>1005149</v>
      </c>
    </row>
    <row r="2633" spans="2:2">
      <c r="B2633" s="116">
        <v>1005515</v>
      </c>
    </row>
    <row r="2634" spans="2:2">
      <c r="B2634" s="115">
        <v>1005880</v>
      </c>
    </row>
    <row r="2635" spans="2:2">
      <c r="B2635" s="116">
        <v>1006245</v>
      </c>
    </row>
    <row r="2636" spans="2:2">
      <c r="B2636" s="115">
        <v>1006610</v>
      </c>
    </row>
    <row r="2637" spans="2:2">
      <c r="B2637" s="116">
        <v>1006976</v>
      </c>
    </row>
    <row r="2638" spans="2:2">
      <c r="B2638" s="115">
        <v>1007341</v>
      </c>
    </row>
    <row r="2639" spans="2:2">
      <c r="B2639" s="116">
        <v>1007706</v>
      </c>
    </row>
    <row r="2640" spans="2:2">
      <c r="B2640" s="115">
        <v>1008071</v>
      </c>
    </row>
    <row r="2641" spans="2:2">
      <c r="B2641" s="117">
        <v>1008437</v>
      </c>
    </row>
    <row r="2642" spans="2:2">
      <c r="B2642" s="115">
        <v>1008802</v>
      </c>
    </row>
    <row r="2643" spans="2:2">
      <c r="B2643" s="117">
        <v>1009167</v>
      </c>
    </row>
    <row r="2644" spans="2:2">
      <c r="B2644" s="115">
        <v>1009532</v>
      </c>
    </row>
    <row r="2645" spans="2:2">
      <c r="B2645" s="116">
        <v>1009898</v>
      </c>
    </row>
    <row r="2646" spans="2:2">
      <c r="B2646" s="115">
        <v>1010263</v>
      </c>
    </row>
    <row r="2647" spans="2:2">
      <c r="B2647" s="116">
        <v>1010628</v>
      </c>
    </row>
    <row r="2648" spans="2:2">
      <c r="B2648" s="115">
        <v>1010993</v>
      </c>
    </row>
    <row r="2649" spans="2:2">
      <c r="B2649" s="116">
        <v>1011359</v>
      </c>
    </row>
    <row r="2650" spans="2:2">
      <c r="B2650" s="115">
        <v>1011724</v>
      </c>
    </row>
    <row r="2651" spans="2:2">
      <c r="B2651" s="116">
        <v>1012089</v>
      </c>
    </row>
    <row r="2652" spans="2:2">
      <c r="B2652" s="115">
        <v>1012454</v>
      </c>
    </row>
    <row r="2653" spans="2:2">
      <c r="B2653" s="117">
        <v>1012820</v>
      </c>
    </row>
    <row r="2654" spans="2:2">
      <c r="B2654" s="115">
        <v>1013185</v>
      </c>
    </row>
    <row r="2655" spans="2:2">
      <c r="B2655" s="117">
        <v>1013550</v>
      </c>
    </row>
    <row r="2656" spans="2:2">
      <c r="B2656" s="115">
        <v>1013915</v>
      </c>
    </row>
    <row r="2657" spans="2:2">
      <c r="B2657" s="116">
        <v>1014281</v>
      </c>
    </row>
    <row r="2658" spans="2:2">
      <c r="B2658" s="115">
        <v>1014646</v>
      </c>
    </row>
    <row r="2659" spans="2:2">
      <c r="B2659" s="116">
        <v>1015011</v>
      </c>
    </row>
    <row r="2660" spans="2:2">
      <c r="B2660" s="115">
        <v>1015376</v>
      </c>
    </row>
    <row r="2661" spans="2:2">
      <c r="B2661" s="116">
        <v>1015742</v>
      </c>
    </row>
    <row r="2662" spans="2:2">
      <c r="B2662" s="115">
        <v>1016107</v>
      </c>
    </row>
    <row r="2663" spans="2:2">
      <c r="B2663" s="116">
        <v>1016472</v>
      </c>
    </row>
    <row r="2664" spans="2:2">
      <c r="B2664" s="115">
        <v>1016837</v>
      </c>
    </row>
    <row r="2665" spans="2:2">
      <c r="B2665" s="117">
        <v>1017203</v>
      </c>
    </row>
    <row r="2666" spans="2:2">
      <c r="B2666" s="115">
        <v>1017568</v>
      </c>
    </row>
    <row r="2667" spans="2:2">
      <c r="B2667" s="117">
        <v>1017933</v>
      </c>
    </row>
    <row r="2668" spans="2:2">
      <c r="B2668" s="115">
        <v>1018298</v>
      </c>
    </row>
    <row r="2669" spans="2:2">
      <c r="B2669" s="116">
        <v>1018664</v>
      </c>
    </row>
    <row r="2670" spans="2:2">
      <c r="B2670" s="115">
        <v>1019029</v>
      </c>
    </row>
    <row r="2671" spans="2:2">
      <c r="B2671" s="116">
        <v>1019394</v>
      </c>
    </row>
    <row r="2672" spans="2:2">
      <c r="B2672" s="115">
        <v>1019759</v>
      </c>
    </row>
    <row r="2673" spans="2:2">
      <c r="B2673" s="116">
        <v>1020125</v>
      </c>
    </row>
    <row r="2674" spans="2:2">
      <c r="B2674" s="115">
        <v>1020490</v>
      </c>
    </row>
    <row r="2675" spans="2:2">
      <c r="B2675" s="116">
        <v>1020855</v>
      </c>
    </row>
    <row r="2676" spans="2:2">
      <c r="B2676" s="115">
        <v>1021220</v>
      </c>
    </row>
    <row r="2677" spans="2:2">
      <c r="B2677" s="117">
        <v>1021586</v>
      </c>
    </row>
    <row r="2678" spans="2:2">
      <c r="B2678" s="115">
        <v>1021951</v>
      </c>
    </row>
    <row r="2679" spans="2:2">
      <c r="B2679" s="117">
        <v>1022316</v>
      </c>
    </row>
    <row r="2680" spans="2:2">
      <c r="B2680" s="115">
        <v>1022681</v>
      </c>
    </row>
    <row r="2681" spans="2:2">
      <c r="B2681" s="116">
        <v>1023046</v>
      </c>
    </row>
    <row r="2682" spans="2:2">
      <c r="B2682" s="115">
        <v>1023411</v>
      </c>
    </row>
    <row r="2683" spans="2:2">
      <c r="B2683" s="116">
        <v>1023776</v>
      </c>
    </row>
    <row r="2684" spans="2:2">
      <c r="B2684" s="115">
        <v>1024141</v>
      </c>
    </row>
    <row r="2685" spans="2:2">
      <c r="B2685" s="116">
        <v>1024507</v>
      </c>
    </row>
    <row r="2686" spans="2:2">
      <c r="B2686" s="115">
        <v>1024872</v>
      </c>
    </row>
    <row r="2687" spans="2:2">
      <c r="B2687" s="116">
        <v>1025237</v>
      </c>
    </row>
    <row r="2688" spans="2:2">
      <c r="B2688" s="115">
        <v>1025602</v>
      </c>
    </row>
    <row r="2689" spans="2:2">
      <c r="B2689" s="117">
        <v>1025968</v>
      </c>
    </row>
    <row r="2690" spans="2:2">
      <c r="B2690" s="115">
        <v>1026333</v>
      </c>
    </row>
    <row r="2691" spans="2:2">
      <c r="B2691" s="117">
        <v>1026698</v>
      </c>
    </row>
    <row r="2692" spans="2:2">
      <c r="B2692" s="115">
        <v>1027063</v>
      </c>
    </row>
    <row r="2693" spans="2:2">
      <c r="B2693" s="116">
        <v>1027429</v>
      </c>
    </row>
    <row r="2694" spans="2:2">
      <c r="B2694" s="115">
        <v>1027794</v>
      </c>
    </row>
    <row r="2695" spans="2:2">
      <c r="B2695" s="116">
        <v>1028159</v>
      </c>
    </row>
    <row r="2696" spans="2:2">
      <c r="B2696" s="115">
        <v>1028524</v>
      </c>
    </row>
    <row r="2697" spans="2:2">
      <c r="B2697" s="116">
        <v>1028890</v>
      </c>
    </row>
    <row r="2698" spans="2:2">
      <c r="B2698" s="115">
        <v>1029255</v>
      </c>
    </row>
    <row r="2699" spans="2:2">
      <c r="B2699" s="116">
        <v>1029620</v>
      </c>
    </row>
    <row r="2700" spans="2:2">
      <c r="B2700" s="115">
        <v>1029985</v>
      </c>
    </row>
    <row r="2701" spans="2:2">
      <c r="B2701" s="117">
        <v>1030351</v>
      </c>
    </row>
    <row r="2702" spans="2:2">
      <c r="B2702" s="115">
        <v>1030716</v>
      </c>
    </row>
    <row r="2703" spans="2:2">
      <c r="B2703" s="117">
        <v>1031081</v>
      </c>
    </row>
    <row r="2704" spans="2:2">
      <c r="B2704" s="115">
        <v>1031446</v>
      </c>
    </row>
    <row r="2705" spans="2:2">
      <c r="B2705" s="116">
        <v>1031812</v>
      </c>
    </row>
    <row r="2706" spans="2:2">
      <c r="B2706" s="115">
        <v>1032177</v>
      </c>
    </row>
    <row r="2707" spans="2:2">
      <c r="B2707" s="116">
        <v>1032542</v>
      </c>
    </row>
    <row r="2708" spans="2:2">
      <c r="B2708" s="115">
        <v>1032907</v>
      </c>
    </row>
    <row r="2709" spans="2:2">
      <c r="B2709" s="116">
        <v>1033273</v>
      </c>
    </row>
    <row r="2710" spans="2:2">
      <c r="B2710" s="115">
        <v>1033638</v>
      </c>
    </row>
    <row r="2711" spans="2:2">
      <c r="B2711" s="116">
        <v>1034003</v>
      </c>
    </row>
    <row r="2712" spans="2:2">
      <c r="B2712" s="115">
        <v>1034368</v>
      </c>
    </row>
    <row r="2713" spans="2:2">
      <c r="B2713" s="117">
        <v>1034734</v>
      </c>
    </row>
    <row r="2714" spans="2:2">
      <c r="B2714" s="115">
        <v>1035099</v>
      </c>
    </row>
    <row r="2715" spans="2:2">
      <c r="B2715" s="117">
        <v>1035464</v>
      </c>
    </row>
    <row r="2716" spans="2:2">
      <c r="B2716" s="115">
        <v>1035829</v>
      </c>
    </row>
    <row r="2717" spans="2:2">
      <c r="B2717" s="116">
        <v>1036195</v>
      </c>
    </row>
    <row r="2718" spans="2:2">
      <c r="B2718" s="115">
        <v>1036560</v>
      </c>
    </row>
    <row r="2719" spans="2:2">
      <c r="B2719" s="116">
        <v>1036925</v>
      </c>
    </row>
    <row r="2720" spans="2:2">
      <c r="B2720" s="115">
        <v>1037290</v>
      </c>
    </row>
    <row r="2721" spans="2:2">
      <c r="B2721" s="116">
        <v>1037656</v>
      </c>
    </row>
    <row r="2722" spans="2:2">
      <c r="B2722" s="115">
        <v>1038021</v>
      </c>
    </row>
    <row r="2723" spans="2:2">
      <c r="B2723" s="116">
        <v>1038386</v>
      </c>
    </row>
    <row r="2724" spans="2:2">
      <c r="B2724" s="115">
        <v>1038751</v>
      </c>
    </row>
    <row r="2725" spans="2:2">
      <c r="B2725" s="117">
        <v>1039117</v>
      </c>
    </row>
    <row r="2726" spans="2:2">
      <c r="B2726" s="115">
        <v>1039482</v>
      </c>
    </row>
    <row r="2727" spans="2:2">
      <c r="B2727" s="117">
        <v>1039847</v>
      </c>
    </row>
    <row r="2728" spans="2:2">
      <c r="B2728" s="115">
        <v>1040212</v>
      </c>
    </row>
    <row r="2729" spans="2:2">
      <c r="B2729" s="116">
        <v>1040578</v>
      </c>
    </row>
    <row r="2730" spans="2:2">
      <c r="B2730" s="115">
        <v>1040943</v>
      </c>
    </row>
    <row r="2731" spans="2:2">
      <c r="B2731" s="116">
        <v>1041308</v>
      </c>
    </row>
    <row r="2732" spans="2:2">
      <c r="B2732" s="115">
        <v>1041673</v>
      </c>
    </row>
    <row r="2733" spans="2:2">
      <c r="B2733" s="116">
        <v>1042039</v>
      </c>
    </row>
    <row r="2734" spans="2:2">
      <c r="B2734" s="151">
        <v>1042404</v>
      </c>
    </row>
  </sheetData>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6968C-4D60-46EA-ADB1-C8D12A8037BB}">
  <sheetPr codeName="Sheet4">
    <tabColor rgb="FFFF0000"/>
  </sheetPr>
  <dimension ref="A1:J24"/>
  <sheetViews>
    <sheetView workbookViewId="0">
      <selection activeCell="D2" sqref="D2"/>
    </sheetView>
  </sheetViews>
  <sheetFormatPr defaultRowHeight="18.75"/>
  <cols>
    <col min="1" max="1" width="0.125" customWidth="1"/>
    <col min="2" max="2" width="5.375" customWidth="1"/>
    <col min="3" max="3" width="33.625" bestFit="1" customWidth="1"/>
    <col min="4" max="4" width="11.75" bestFit="1" customWidth="1"/>
    <col min="5" max="9" width="9.125" customWidth="1"/>
  </cols>
  <sheetData>
    <row r="1" spans="1:10" ht="21.75" thickBot="1">
      <c r="A1" s="1" t="s">
        <v>11</v>
      </c>
      <c r="B1" s="1"/>
      <c r="C1" s="2"/>
      <c r="D1" s="2"/>
      <c r="E1" s="2"/>
      <c r="F1" s="2"/>
      <c r="G1" s="113"/>
      <c r="H1" s="113"/>
      <c r="I1" s="2"/>
    </row>
    <row r="2" spans="1:10" ht="21.75" thickBot="1">
      <c r="A2" s="1"/>
      <c r="B2" s="1"/>
      <c r="C2" s="118" t="s">
        <v>147</v>
      </c>
      <c r="D2" s="119">
        <v>45658</v>
      </c>
      <c r="E2" s="122" t="s">
        <v>146</v>
      </c>
      <c r="F2" s="121"/>
      <c r="G2" s="120"/>
      <c r="H2" s="113"/>
      <c r="I2" s="2"/>
    </row>
    <row r="3" spans="1:10" ht="5.45" customHeight="1" thickBot="1">
      <c r="A3" s="2"/>
      <c r="B3" s="2"/>
      <c r="C3" s="112"/>
      <c r="D3" s="3"/>
      <c r="E3" s="2"/>
      <c r="F3" s="2"/>
      <c r="G3" s="2"/>
      <c r="H3" s="2"/>
      <c r="I3" s="2"/>
    </row>
    <row r="4" spans="1:10" ht="19.5" thickBot="1">
      <c r="A4" s="55" t="s">
        <v>12</v>
      </c>
      <c r="B4" s="33"/>
      <c r="C4" s="25" t="s">
        <v>13</v>
      </c>
      <c r="D4" s="240" t="s">
        <v>14</v>
      </c>
      <c r="E4" s="241"/>
      <c r="F4" s="241"/>
      <c r="G4" s="241"/>
      <c r="H4" s="241"/>
      <c r="I4" s="242"/>
    </row>
    <row r="5" spans="1:10" ht="24.75" thickTop="1">
      <c r="A5" s="250" t="s">
        <v>2105</v>
      </c>
      <c r="B5" s="251"/>
      <c r="C5" s="251"/>
      <c r="D5" s="243"/>
      <c r="E5" s="243"/>
      <c r="F5" s="243"/>
      <c r="G5" s="243"/>
      <c r="H5" s="243"/>
      <c r="I5" s="244"/>
    </row>
    <row r="6" spans="1:10" ht="5.0999999999999996" customHeight="1">
      <c r="A6" s="31"/>
      <c r="B6" s="36"/>
      <c r="C6" s="32"/>
      <c r="D6" s="245"/>
      <c r="E6" s="245"/>
      <c r="F6" s="245"/>
      <c r="G6" s="245"/>
      <c r="H6" s="245"/>
      <c r="I6" s="246"/>
    </row>
    <row r="7" spans="1:10">
      <c r="A7" s="31"/>
      <c r="B7" s="35">
        <f>IF(ISBLANK($C7),"",COUNTA($C$6:$C7))</f>
        <v>1</v>
      </c>
      <c r="C7" s="27" t="s">
        <v>176</v>
      </c>
      <c r="D7" s="247" t="s">
        <v>205</v>
      </c>
      <c r="E7" s="248"/>
      <c r="F7" s="248"/>
      <c r="G7" s="248"/>
      <c r="H7" s="248"/>
      <c r="I7" s="249"/>
    </row>
    <row r="8" spans="1:10" ht="4.9000000000000004" customHeight="1">
      <c r="A8" s="31"/>
      <c r="B8" s="35"/>
      <c r="C8" s="27"/>
      <c r="D8" s="258"/>
      <c r="E8" s="258"/>
      <c r="F8" s="258"/>
      <c r="G8" s="258"/>
      <c r="H8" s="258"/>
      <c r="I8" s="259"/>
    </row>
    <row r="9" spans="1:10">
      <c r="A9" s="28"/>
      <c r="B9" s="35">
        <f>IF(ISBLANK($C9),"",COUNTA($C$6:$C9))</f>
        <v>2</v>
      </c>
      <c r="C9" s="27" t="s">
        <v>177</v>
      </c>
      <c r="D9" s="255" t="s">
        <v>2188</v>
      </c>
      <c r="E9" s="256"/>
      <c r="F9" s="256"/>
      <c r="G9" s="256"/>
      <c r="H9" s="256"/>
      <c r="I9" s="257"/>
      <c r="J9" t="s">
        <v>2176</v>
      </c>
    </row>
    <row r="10" spans="1:10" ht="5.0999999999999996" customHeight="1">
      <c r="A10" s="28"/>
      <c r="B10" s="35" t="str">
        <f>IF(ISBLANK($C10),"",COUNTA($C$6:$C10))</f>
        <v/>
      </c>
      <c r="C10" s="27"/>
      <c r="D10" s="258"/>
      <c r="E10" s="258"/>
      <c r="F10" s="258"/>
      <c r="G10" s="258"/>
      <c r="H10" s="258"/>
      <c r="I10" s="259"/>
    </row>
    <row r="11" spans="1:10">
      <c r="A11" s="28"/>
      <c r="B11" s="35">
        <f>IF(ISBLANK($C11),"",COUNTA($C$6:$C11))</f>
        <v>3</v>
      </c>
      <c r="C11" s="27" t="s">
        <v>178</v>
      </c>
      <c r="D11" s="247" t="s">
        <v>2106</v>
      </c>
      <c r="E11" s="248"/>
      <c r="F11" s="248"/>
      <c r="G11" s="248"/>
      <c r="H11" s="248"/>
      <c r="I11" s="249"/>
    </row>
    <row r="12" spans="1:10" ht="5.0999999999999996" customHeight="1">
      <c r="A12" s="28"/>
      <c r="B12" s="35" t="str">
        <f>IF(ISBLANK($C12),"",COUNTA($C$6:$C12))</f>
        <v/>
      </c>
      <c r="C12" s="26"/>
      <c r="D12" s="258"/>
      <c r="E12" s="258"/>
      <c r="F12" s="258"/>
      <c r="G12" s="258"/>
      <c r="H12" s="258"/>
      <c r="I12" s="259"/>
    </row>
    <row r="13" spans="1:10" ht="24">
      <c r="A13" s="250" t="s">
        <v>2187</v>
      </c>
      <c r="B13" s="251"/>
      <c r="C13" s="251"/>
      <c r="D13" s="252"/>
      <c r="E13" s="253"/>
      <c r="F13" s="253"/>
      <c r="G13" s="253"/>
      <c r="H13" s="253"/>
      <c r="I13" s="254"/>
    </row>
    <row r="14" spans="1:10" ht="4.9000000000000004" customHeight="1">
      <c r="A14" s="28"/>
      <c r="B14" s="34"/>
      <c r="C14" s="29"/>
      <c r="D14" s="245"/>
      <c r="E14" s="245"/>
      <c r="F14" s="245"/>
      <c r="G14" s="245"/>
      <c r="H14" s="245"/>
      <c r="I14" s="246"/>
    </row>
    <row r="15" spans="1:10" ht="18" customHeight="1">
      <c r="A15" s="28"/>
      <c r="B15" s="35">
        <f>IF(ISBLANK($C15),"",COUNTA($C$6:$C15))</f>
        <v>4</v>
      </c>
      <c r="C15" s="26" t="s">
        <v>148</v>
      </c>
      <c r="D15" s="247" t="s">
        <v>2081</v>
      </c>
      <c r="E15" s="248"/>
      <c r="F15" s="248"/>
      <c r="G15" s="248"/>
      <c r="H15" s="248"/>
      <c r="I15" s="249"/>
    </row>
    <row r="16" spans="1:10" ht="4.9000000000000004" customHeight="1">
      <c r="A16" s="28"/>
      <c r="B16" s="35" t="str">
        <f>IF(ISBLANK($C16),"",COUNTA($C$6:$C16))</f>
        <v/>
      </c>
      <c r="C16" s="26"/>
      <c r="D16" s="258"/>
      <c r="E16" s="258"/>
      <c r="F16" s="258"/>
      <c r="G16" s="258"/>
      <c r="H16" s="258"/>
      <c r="I16" s="259"/>
    </row>
    <row r="17" spans="1:9">
      <c r="A17" s="28"/>
      <c r="B17" s="35">
        <f>IF(ISBLANK($C17),"",COUNTA($C$6:$C17))</f>
        <v>5</v>
      </c>
      <c r="C17" s="26" t="s">
        <v>149</v>
      </c>
      <c r="D17" s="260" t="s">
        <v>2133</v>
      </c>
      <c r="E17" s="261"/>
      <c r="F17" s="261"/>
      <c r="G17" s="261"/>
      <c r="H17" s="261"/>
      <c r="I17" s="262"/>
    </row>
    <row r="18" spans="1:9" ht="4.9000000000000004" customHeight="1">
      <c r="A18" s="28"/>
      <c r="B18" s="35" t="str">
        <f>IF(ISBLANK($C18),"",COUNTA($C$6:$C18))</f>
        <v/>
      </c>
      <c r="C18" s="26"/>
      <c r="D18" s="258"/>
      <c r="E18" s="258"/>
      <c r="F18" s="258"/>
      <c r="G18" s="258"/>
      <c r="H18" s="258"/>
      <c r="I18" s="259"/>
    </row>
    <row r="19" spans="1:9" ht="24">
      <c r="A19" s="250" t="s">
        <v>2327</v>
      </c>
      <c r="B19" s="251"/>
      <c r="C19" s="251"/>
      <c r="D19" s="252"/>
      <c r="E19" s="253"/>
      <c r="F19" s="253"/>
      <c r="G19" s="253"/>
      <c r="H19" s="253"/>
      <c r="I19" s="254"/>
    </row>
    <row r="20" spans="1:9" ht="4.9000000000000004" customHeight="1">
      <c r="A20" s="28"/>
      <c r="B20" s="34"/>
      <c r="C20" s="29"/>
      <c r="D20" s="245"/>
      <c r="E20" s="245"/>
      <c r="F20" s="245"/>
      <c r="G20" s="245"/>
      <c r="H20" s="245"/>
      <c r="I20" s="246"/>
    </row>
    <row r="21" spans="1:9">
      <c r="A21" s="28"/>
      <c r="B21" s="35">
        <f>IF(ISBLANK($C21),"",COUNTA($C$6:$C21))</f>
        <v>6</v>
      </c>
      <c r="C21" s="26" t="s">
        <v>2189</v>
      </c>
      <c r="D21" s="247" t="s">
        <v>2190</v>
      </c>
      <c r="E21" s="248"/>
      <c r="F21" s="248"/>
      <c r="G21" s="248"/>
      <c r="H21" s="248"/>
      <c r="I21" s="249"/>
    </row>
    <row r="22" spans="1:9" ht="4.9000000000000004" customHeight="1">
      <c r="A22" s="28"/>
      <c r="B22" s="35" t="str">
        <f>IF(ISBLANK($C22),"",COUNTA($C$6:$C22))</f>
        <v/>
      </c>
      <c r="C22" s="26"/>
      <c r="D22" s="258"/>
      <c r="E22" s="258"/>
      <c r="F22" s="258"/>
      <c r="G22" s="258"/>
      <c r="H22" s="258"/>
      <c r="I22" s="259"/>
    </row>
    <row r="23" spans="1:9">
      <c r="A23" s="28"/>
      <c r="B23" s="35">
        <f>IF(ISBLANK($C23),"",COUNTA($C$6:$C23))</f>
        <v>7</v>
      </c>
      <c r="C23" s="26" t="s">
        <v>149</v>
      </c>
      <c r="D23" s="260" t="s">
        <v>2191</v>
      </c>
      <c r="E23" s="261"/>
      <c r="F23" s="261"/>
      <c r="G23" s="261"/>
      <c r="H23" s="261"/>
      <c r="I23" s="262"/>
    </row>
    <row r="24" spans="1:9" ht="4.9000000000000004" customHeight="1" thickBot="1">
      <c r="A24" s="226"/>
      <c r="B24" s="227" t="str">
        <f>IF(ISBLANK($C24),"",COUNTA($C$6:$C24))</f>
        <v/>
      </c>
      <c r="C24" s="228"/>
      <c r="D24" s="263"/>
      <c r="E24" s="263"/>
      <c r="F24" s="263"/>
      <c r="G24" s="263"/>
      <c r="H24" s="263"/>
      <c r="I24" s="264"/>
    </row>
  </sheetData>
  <mergeCells count="24">
    <mergeCell ref="D18:I18"/>
    <mergeCell ref="A19:C19"/>
    <mergeCell ref="D19:I19"/>
    <mergeCell ref="D23:I23"/>
    <mergeCell ref="D24:I24"/>
    <mergeCell ref="D20:I20"/>
    <mergeCell ref="D21:I21"/>
    <mergeCell ref="D22:I22"/>
    <mergeCell ref="D14:I14"/>
    <mergeCell ref="D15:I15"/>
    <mergeCell ref="D12:I12"/>
    <mergeCell ref="D16:I16"/>
    <mergeCell ref="D17:I17"/>
    <mergeCell ref="D4:I4"/>
    <mergeCell ref="D5:I5"/>
    <mergeCell ref="D6:I6"/>
    <mergeCell ref="D7:I7"/>
    <mergeCell ref="A13:C13"/>
    <mergeCell ref="D13:I13"/>
    <mergeCell ref="D9:I9"/>
    <mergeCell ref="D10:I10"/>
    <mergeCell ref="D8:I8"/>
    <mergeCell ref="D11:I11"/>
    <mergeCell ref="A5:C5"/>
  </mergeCells>
  <phoneticPr fontId="7"/>
  <pageMargins left="0.7" right="0.7" top="0.75" bottom="0.75" header="0.3" footer="0.3"/>
  <pageSetup paperSize="9" scale="4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EE71B1B-CED9-457E-8A68-CB0F79CE11F0}">
          <x14:formula1>
            <xm:f>設定!$B$4:$B$99999</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B087C-E586-4275-B421-AB3849C35F61}">
  <sheetPr codeName="Sheet2">
    <tabColor indexed="45"/>
    <pageSetUpPr fitToPage="1"/>
  </sheetPr>
  <dimension ref="A1:AZ76"/>
  <sheetViews>
    <sheetView topLeftCell="AO1" zoomScale="90" zoomScaleNormal="90" workbookViewId="0">
      <selection activeCell="E76" sqref="E76"/>
    </sheetView>
  </sheetViews>
  <sheetFormatPr defaultColWidth="9" defaultRowHeight="24.75" customHeight="1"/>
  <cols>
    <col min="1" max="1" width="5.625" bestFit="1" customWidth="1"/>
    <col min="2" max="2" width="10.25" customWidth="1"/>
    <col min="3" max="3" width="14.625" customWidth="1"/>
    <col min="4" max="4" width="11.5" bestFit="1" customWidth="1"/>
    <col min="5" max="5" width="13.375" bestFit="1" customWidth="1"/>
    <col min="6" max="6" width="16.625" bestFit="1" customWidth="1"/>
    <col min="7" max="7" width="55.875" customWidth="1"/>
    <col min="8" max="8" width="9.125" customWidth="1"/>
    <col min="9" max="9" width="8.5" customWidth="1"/>
    <col min="10" max="10" width="37.75" bestFit="1" customWidth="1"/>
    <col min="11" max="11" width="63.5" bestFit="1" customWidth="1"/>
    <col min="12" max="12" width="17.25" bestFit="1" customWidth="1"/>
    <col min="13" max="13" width="16.875" customWidth="1"/>
    <col min="14" max="14" width="13.25" bestFit="1" customWidth="1"/>
    <col min="15" max="15" width="32.125" customWidth="1"/>
    <col min="16" max="16" width="10.5" customWidth="1"/>
    <col min="17" max="17" width="21.875" customWidth="1"/>
    <col min="18" max="18" width="29.25" customWidth="1"/>
    <col min="19" max="19" width="23.25" bestFit="1" customWidth="1"/>
    <col min="20" max="20" width="13.25" bestFit="1" customWidth="1"/>
    <col min="21" max="21" width="21.375" customWidth="1"/>
    <col min="22" max="22" width="8.125" customWidth="1"/>
    <col min="23" max="23" width="41.625" customWidth="1"/>
    <col min="24" max="24" width="23.25" customWidth="1"/>
    <col min="25" max="25" width="15.875" bestFit="1" customWidth="1"/>
    <col min="26" max="26" width="13.25" bestFit="1" customWidth="1"/>
    <col min="27" max="27" width="5.125" customWidth="1"/>
    <col min="28" max="30" width="6.125" customWidth="1"/>
    <col min="31" max="31" width="9.125" customWidth="1"/>
    <col min="32" max="32" width="11.375" bestFit="1" customWidth="1"/>
    <col min="33" max="33" width="12.625" customWidth="1"/>
    <col min="34" max="34" width="13" bestFit="1" customWidth="1"/>
    <col min="35" max="35" width="4.25" customWidth="1"/>
    <col min="36" max="36" width="15.625" customWidth="1"/>
    <col min="37" max="37" width="17.375" customWidth="1"/>
    <col min="38" max="38" width="17.125" customWidth="1"/>
    <col min="39" max="39" width="14.75" customWidth="1"/>
    <col min="40" max="41" width="16.125" customWidth="1"/>
    <col min="42" max="42" width="20.625" bestFit="1" customWidth="1"/>
    <col min="43" max="43" width="17.25" bestFit="1" customWidth="1"/>
    <col min="44" max="44" width="68.5" bestFit="1" customWidth="1"/>
    <col min="45" max="45" width="9" customWidth="1"/>
    <col min="46" max="46" width="27.375" bestFit="1" customWidth="1"/>
    <col min="47" max="50" width="9.25" bestFit="1" customWidth="1"/>
  </cols>
  <sheetData>
    <row r="1" spans="1:52" s="59" customFormat="1" ht="24.75" customHeight="1">
      <c r="A1" s="56"/>
      <c r="B1" s="57" t="s">
        <v>32</v>
      </c>
      <c r="C1" s="57"/>
      <c r="D1" s="57"/>
      <c r="E1" s="57"/>
      <c r="F1" s="58"/>
      <c r="I1" s="60"/>
      <c r="O1" s="57"/>
      <c r="P1" s="57"/>
      <c r="Q1" s="57"/>
      <c r="R1" s="57"/>
      <c r="S1" s="57"/>
      <c r="T1" s="57"/>
      <c r="U1" s="57"/>
      <c r="V1" s="57"/>
      <c r="W1" s="57"/>
      <c r="X1" s="57"/>
      <c r="Y1" s="57"/>
      <c r="Z1" s="57"/>
      <c r="AA1" s="57"/>
      <c r="AB1" s="57"/>
      <c r="AC1" s="57"/>
      <c r="AD1" s="57"/>
      <c r="AE1" s="61"/>
      <c r="AF1" s="62"/>
      <c r="AK1" s="60"/>
      <c r="AL1" s="60"/>
      <c r="AO1" s="63"/>
      <c r="AQ1" s="64"/>
    </row>
    <row r="2" spans="1:52" s="129" customFormat="1" ht="110.25" hidden="1">
      <c r="A2" s="141" t="s">
        <v>151</v>
      </c>
      <c r="B2" s="130" t="s">
        <v>152</v>
      </c>
      <c r="C2" s="150" t="s">
        <v>155</v>
      </c>
      <c r="D2" s="150" t="s">
        <v>153</v>
      </c>
      <c r="E2" s="130" t="s">
        <v>154</v>
      </c>
      <c r="F2" s="150" t="s">
        <v>156</v>
      </c>
      <c r="G2" s="130" t="s">
        <v>157</v>
      </c>
      <c r="H2" s="130" t="s">
        <v>2092</v>
      </c>
      <c r="I2" s="131" t="s">
        <v>158</v>
      </c>
      <c r="J2" s="131" t="s">
        <v>158</v>
      </c>
      <c r="K2" s="130" t="s">
        <v>159</v>
      </c>
      <c r="L2" s="130"/>
      <c r="M2" s="130"/>
      <c r="N2" s="142"/>
      <c r="O2" s="130" t="s">
        <v>160</v>
      </c>
      <c r="P2" s="130" t="s">
        <v>160</v>
      </c>
      <c r="Q2" s="130" t="s">
        <v>160</v>
      </c>
      <c r="R2" s="130" t="s">
        <v>160</v>
      </c>
      <c r="S2" s="130" t="s">
        <v>160</v>
      </c>
      <c r="T2" s="130"/>
      <c r="U2" s="130" t="s">
        <v>161</v>
      </c>
      <c r="V2" s="130" t="s">
        <v>161</v>
      </c>
      <c r="W2" s="130" t="s">
        <v>161</v>
      </c>
      <c r="X2" s="130" t="s">
        <v>161</v>
      </c>
      <c r="Y2" s="130" t="s">
        <v>161</v>
      </c>
      <c r="Z2" s="142"/>
      <c r="AA2" s="130" t="s">
        <v>162</v>
      </c>
      <c r="AB2" s="130" t="s">
        <v>169</v>
      </c>
      <c r="AC2" s="142"/>
      <c r="AD2" s="130" t="s">
        <v>166</v>
      </c>
      <c r="AE2" s="143" t="s">
        <v>167</v>
      </c>
      <c r="AF2" s="144" t="s">
        <v>168</v>
      </c>
      <c r="AG2" s="150" t="s">
        <v>165</v>
      </c>
      <c r="AH2" s="145" t="s">
        <v>163</v>
      </c>
      <c r="AI2" s="145" t="s">
        <v>69</v>
      </c>
      <c r="AJ2" s="145"/>
      <c r="AK2" s="139" t="s">
        <v>181</v>
      </c>
      <c r="AL2" s="139" t="s">
        <v>182</v>
      </c>
      <c r="AM2" s="142" t="s">
        <v>170</v>
      </c>
      <c r="AN2" s="146" t="s">
        <v>171</v>
      </c>
      <c r="AO2" s="147" t="s">
        <v>150</v>
      </c>
      <c r="AP2" s="150" t="s">
        <v>172</v>
      </c>
      <c r="AQ2" s="148" t="s">
        <v>173</v>
      </c>
      <c r="AR2" s="149" t="s">
        <v>174</v>
      </c>
      <c r="AS2" s="142"/>
      <c r="AT2" s="142" t="s">
        <v>175</v>
      </c>
      <c r="AU2" s="142"/>
      <c r="AV2" s="142"/>
      <c r="AW2" s="142"/>
      <c r="AX2" s="142"/>
    </row>
    <row r="3" spans="1:52" s="60" customFormat="1" ht="24.75" customHeight="1">
      <c r="A3" s="56"/>
      <c r="B3" s="65" t="s">
        <v>33</v>
      </c>
      <c r="C3" s="273" t="s">
        <v>34</v>
      </c>
      <c r="D3" s="274"/>
      <c r="E3" s="275" t="s">
        <v>35</v>
      </c>
      <c r="F3" s="276"/>
      <c r="G3" s="277" t="s">
        <v>36</v>
      </c>
      <c r="H3" s="277"/>
      <c r="I3" s="277"/>
      <c r="J3" s="277"/>
      <c r="K3" s="277"/>
      <c r="L3" s="277"/>
      <c r="M3" s="277"/>
      <c r="N3" s="275"/>
      <c r="O3" s="278" t="s">
        <v>37</v>
      </c>
      <c r="P3" s="278"/>
      <c r="Q3" s="278"/>
      <c r="R3" s="278"/>
      <c r="S3" s="278"/>
      <c r="T3" s="278"/>
      <c r="U3" s="279" t="s">
        <v>38</v>
      </c>
      <c r="V3" s="279"/>
      <c r="W3" s="279"/>
      <c r="X3" s="279"/>
      <c r="Y3" s="279"/>
      <c r="Z3" s="279"/>
      <c r="AA3" s="265" t="s">
        <v>39</v>
      </c>
      <c r="AB3" s="266"/>
      <c r="AC3" s="267"/>
      <c r="AD3" s="67" t="s">
        <v>40</v>
      </c>
      <c r="AE3" s="67" t="s">
        <v>41</v>
      </c>
      <c r="AF3" s="67" t="s">
        <v>164</v>
      </c>
      <c r="AG3" s="65" t="s">
        <v>43</v>
      </c>
      <c r="AH3" s="265" t="s">
        <v>44</v>
      </c>
      <c r="AI3" s="266"/>
      <c r="AJ3" s="267"/>
      <c r="AK3" s="65" t="s">
        <v>45</v>
      </c>
      <c r="AL3" s="65" t="s">
        <v>46</v>
      </c>
      <c r="AM3" s="65" t="s">
        <v>47</v>
      </c>
      <c r="AN3" s="65" t="s">
        <v>48</v>
      </c>
      <c r="AO3" s="68" t="s">
        <v>49</v>
      </c>
      <c r="AP3" s="268" t="s">
        <v>50</v>
      </c>
      <c r="AQ3" s="270" t="s">
        <v>51</v>
      </c>
      <c r="AR3" s="272" t="s">
        <v>52</v>
      </c>
    </row>
    <row r="4" spans="1:52" s="59" customFormat="1" ht="24.75" customHeight="1">
      <c r="A4" s="56"/>
      <c r="B4" s="70" t="s">
        <v>33</v>
      </c>
      <c r="C4" s="70" t="s">
        <v>53</v>
      </c>
      <c r="D4" s="70" t="s">
        <v>54</v>
      </c>
      <c r="E4" s="70" t="s">
        <v>55</v>
      </c>
      <c r="F4" s="71" t="s">
        <v>56</v>
      </c>
      <c r="G4" s="70" t="s">
        <v>57</v>
      </c>
      <c r="H4" s="70" t="s">
        <v>2093</v>
      </c>
      <c r="I4" s="70" t="s">
        <v>59</v>
      </c>
      <c r="J4" s="70" t="s">
        <v>60</v>
      </c>
      <c r="K4" s="70" t="s">
        <v>61</v>
      </c>
      <c r="L4" s="70" t="s">
        <v>54</v>
      </c>
      <c r="M4" s="70" t="s">
        <v>62</v>
      </c>
      <c r="N4" s="72" t="s">
        <v>63</v>
      </c>
      <c r="O4" s="70" t="s">
        <v>57</v>
      </c>
      <c r="P4" s="70" t="s">
        <v>2093</v>
      </c>
      <c r="Q4" s="70" t="s">
        <v>64</v>
      </c>
      <c r="R4" s="70" t="s">
        <v>61</v>
      </c>
      <c r="S4" s="70" t="s">
        <v>2094</v>
      </c>
      <c r="T4" s="70" t="s">
        <v>63</v>
      </c>
      <c r="U4" s="70" t="s">
        <v>57</v>
      </c>
      <c r="V4" s="70" t="s">
        <v>2093</v>
      </c>
      <c r="W4" s="70" t="s">
        <v>64</v>
      </c>
      <c r="X4" s="70" t="s">
        <v>61</v>
      </c>
      <c r="Y4" s="70" t="s">
        <v>2095</v>
      </c>
      <c r="Z4" s="70" t="s">
        <v>63</v>
      </c>
      <c r="AA4" s="73" t="s">
        <v>65</v>
      </c>
      <c r="AB4" s="74" t="s">
        <v>66</v>
      </c>
      <c r="AC4" s="75" t="s">
        <v>67</v>
      </c>
      <c r="AD4" s="76" t="s">
        <v>40</v>
      </c>
      <c r="AE4" s="76" t="s">
        <v>41</v>
      </c>
      <c r="AF4" s="76" t="s">
        <v>42</v>
      </c>
      <c r="AG4" s="77" t="s">
        <v>43</v>
      </c>
      <c r="AH4" s="73" t="s">
        <v>68</v>
      </c>
      <c r="AI4" s="78" t="s">
        <v>69</v>
      </c>
      <c r="AJ4" s="75" t="s">
        <v>70</v>
      </c>
      <c r="AK4" s="70"/>
      <c r="AL4" s="70"/>
      <c r="AM4" s="70"/>
      <c r="AN4" s="70"/>
      <c r="AO4" s="79"/>
      <c r="AP4" s="269"/>
      <c r="AQ4" s="271"/>
      <c r="AR4" s="272"/>
      <c r="AT4" s="59" t="s">
        <v>71</v>
      </c>
      <c r="AU4" s="59" t="s">
        <v>72</v>
      </c>
      <c r="AV4" s="59" t="s">
        <v>15</v>
      </c>
      <c r="AW4" s="59" t="s">
        <v>73</v>
      </c>
      <c r="AX4" s="59" t="s">
        <v>74</v>
      </c>
    </row>
    <row r="5" spans="1:52" ht="24.75" customHeight="1">
      <c r="A5" s="172">
        <f>ROW() - 4</f>
        <v>1</v>
      </c>
      <c r="B5" s="224" t="s">
        <v>2423</v>
      </c>
      <c r="C5" s="224" t="s">
        <v>2420</v>
      </c>
      <c r="D5" s="224" t="s">
        <v>2421</v>
      </c>
      <c r="E5" s="224" t="s">
        <v>2177</v>
      </c>
      <c r="F5" s="224" t="s">
        <v>2422</v>
      </c>
      <c r="G5" s="172" t="s">
        <v>2401</v>
      </c>
      <c r="H5" s="224" t="s">
        <v>2414</v>
      </c>
      <c r="I5" s="224" t="s">
        <v>2424</v>
      </c>
      <c r="J5" s="172" t="s">
        <v>2402</v>
      </c>
      <c r="K5" s="172" t="s">
        <v>2403</v>
      </c>
      <c r="L5" s="172" t="s">
        <v>2404</v>
      </c>
      <c r="M5" s="224" t="s">
        <v>2418</v>
      </c>
      <c r="N5" s="172"/>
      <c r="O5" s="172" t="s">
        <v>2405</v>
      </c>
      <c r="P5" s="224" t="s">
        <v>2415</v>
      </c>
      <c r="Q5" s="172" t="s">
        <v>2406</v>
      </c>
      <c r="R5" s="172" t="s">
        <v>2407</v>
      </c>
      <c r="S5" s="224" t="s">
        <v>2416</v>
      </c>
      <c r="T5" s="172"/>
      <c r="U5" s="172" t="s">
        <v>2405</v>
      </c>
      <c r="V5" s="172" t="s">
        <v>2415</v>
      </c>
      <c r="W5" s="172" t="s">
        <v>2406</v>
      </c>
      <c r="X5" s="172" t="s">
        <v>2408</v>
      </c>
      <c r="Y5" s="224" t="s">
        <v>2416</v>
      </c>
      <c r="Z5" s="172"/>
      <c r="AA5" s="224">
        <v>5</v>
      </c>
      <c r="AB5" s="224" t="s">
        <v>2178</v>
      </c>
      <c r="AC5" s="224"/>
      <c r="AD5" s="224">
        <v>1</v>
      </c>
      <c r="AE5" s="172">
        <v>313200</v>
      </c>
      <c r="AF5" s="172">
        <f>AE5</f>
        <v>313200</v>
      </c>
      <c r="AG5" s="237">
        <v>45748</v>
      </c>
      <c r="AH5" s="238">
        <v>45748</v>
      </c>
      <c r="AI5" s="224" t="s">
        <v>2184</v>
      </c>
      <c r="AJ5" s="238">
        <v>47573</v>
      </c>
      <c r="AK5" s="224" t="s">
        <v>798</v>
      </c>
      <c r="AL5" s="224" t="s">
        <v>2410</v>
      </c>
      <c r="AM5" s="224"/>
      <c r="AN5" s="224"/>
      <c r="AO5" s="238">
        <v>45748</v>
      </c>
      <c r="AP5" s="172" t="s">
        <v>2419</v>
      </c>
      <c r="AQ5" s="172" t="str">
        <f>IF(COUNTIF($AN5,"*消耗部品交換対象*"),IF(ISBLANK($AH5),"契約期間 未入力",EDATE($AH5,30)),"")</f>
        <v/>
      </c>
      <c r="AR5" s="172" t="s">
        <v>2409</v>
      </c>
      <c r="AT5" t="s">
        <v>2454</v>
      </c>
      <c r="AU5" s="169">
        <v>313200</v>
      </c>
      <c r="AV5" s="169">
        <v>273600</v>
      </c>
      <c r="AW5">
        <f t="shared" ref="AW5:AW36" si="0">SUMIF($B:$B,$B5,$AU:$AU)</f>
        <v>1827600</v>
      </c>
      <c r="AX5">
        <f t="shared" ref="AX5:AX36" si="1">SUMIF($B:$B,$B5,$AV:$AV)</f>
        <v>1359600</v>
      </c>
      <c r="AZ5" t="str">
        <f>IF(_xlfn.XLOOKUP($AK5,価格表__卸価格[品番],価格表__卸価格[代替],"")=0,"",_xlfn.XLOOKUP($AK5,価格表__卸価格[品番],価格表__卸価格[代替],""))</f>
        <v/>
      </c>
    </row>
    <row r="6" spans="1:52" ht="24.75" customHeight="1">
      <c r="A6" s="172">
        <f t="shared" ref="A6:A8" si="2">ROW() - 4</f>
        <v>2</v>
      </c>
      <c r="B6" s="224" t="s">
        <v>2423</v>
      </c>
      <c r="C6" s="224" t="s">
        <v>2420</v>
      </c>
      <c r="D6" s="224" t="s">
        <v>2421</v>
      </c>
      <c r="E6" s="224" t="s">
        <v>2177</v>
      </c>
      <c r="F6" s="224" t="s">
        <v>2422</v>
      </c>
      <c r="G6" s="172" t="s">
        <v>2401</v>
      </c>
      <c r="H6" s="224" t="s">
        <v>2414</v>
      </c>
      <c r="I6" s="224" t="s">
        <v>2185</v>
      </c>
      <c r="J6" s="172" t="s">
        <v>2402</v>
      </c>
      <c r="K6" s="172" t="s">
        <v>2403</v>
      </c>
      <c r="L6" s="172" t="s">
        <v>2404</v>
      </c>
      <c r="M6" s="224" t="s">
        <v>2418</v>
      </c>
      <c r="N6" s="172"/>
      <c r="O6" s="172" t="s">
        <v>2405</v>
      </c>
      <c r="P6" s="224" t="s">
        <v>2415</v>
      </c>
      <c r="Q6" s="172" t="s">
        <v>2406</v>
      </c>
      <c r="R6" s="172" t="s">
        <v>2407</v>
      </c>
      <c r="S6" s="224" t="s">
        <v>2416</v>
      </c>
      <c r="T6" s="172"/>
      <c r="U6" s="172" t="s">
        <v>2405</v>
      </c>
      <c r="V6" s="172" t="s">
        <v>2415</v>
      </c>
      <c r="W6" s="172" t="s">
        <v>2406</v>
      </c>
      <c r="X6" s="172" t="s">
        <v>2408</v>
      </c>
      <c r="Y6" s="224" t="s">
        <v>2416</v>
      </c>
      <c r="Z6" s="172"/>
      <c r="AA6" s="224">
        <v>5</v>
      </c>
      <c r="AB6" s="224" t="s">
        <v>2178</v>
      </c>
      <c r="AC6" s="224"/>
      <c r="AD6" s="224">
        <v>1</v>
      </c>
      <c r="AE6" s="172">
        <v>313200</v>
      </c>
      <c r="AF6" s="172">
        <f t="shared" ref="AF6:AF8" si="3">AE6</f>
        <v>313200</v>
      </c>
      <c r="AG6" s="237">
        <v>45748</v>
      </c>
      <c r="AH6" s="238">
        <v>45748</v>
      </c>
      <c r="AI6" s="224" t="s">
        <v>2184</v>
      </c>
      <c r="AJ6" s="238">
        <v>47573</v>
      </c>
      <c r="AK6" s="224" t="s">
        <v>798</v>
      </c>
      <c r="AL6" s="224" t="s">
        <v>2411</v>
      </c>
      <c r="AM6" s="224"/>
      <c r="AN6" s="224"/>
      <c r="AO6" s="238">
        <v>45748</v>
      </c>
      <c r="AP6" s="172" t="s">
        <v>2419</v>
      </c>
      <c r="AQ6" s="172" t="str">
        <f t="shared" ref="AQ6:AQ8" si="4">IF(COUNTIF($AN6,"*消耗部品交換対象*"),IF(ISBLANK($AH6),"契約期間 未入力",EDATE($AH6,30)),"")</f>
        <v/>
      </c>
      <c r="AR6" s="172"/>
      <c r="AT6" t="s">
        <v>2454</v>
      </c>
      <c r="AU6" s="169">
        <v>313200</v>
      </c>
      <c r="AV6" s="169">
        <v>273600</v>
      </c>
      <c r="AW6">
        <f t="shared" si="0"/>
        <v>1827600</v>
      </c>
      <c r="AX6">
        <f t="shared" si="1"/>
        <v>1359600</v>
      </c>
      <c r="AZ6" t="str">
        <f>IF(_xlfn.XLOOKUP($AK6,価格表__卸価格[品番],価格表__卸価格[代替],"")=0,"",_xlfn.XLOOKUP($AK6,価格表__卸価格[品番],価格表__卸価格[代替],""))</f>
        <v/>
      </c>
    </row>
    <row r="7" spans="1:52" ht="24.75" customHeight="1">
      <c r="A7" s="172">
        <f t="shared" si="2"/>
        <v>3</v>
      </c>
      <c r="B7" s="224" t="s">
        <v>2423</v>
      </c>
      <c r="C7" s="224" t="s">
        <v>2420</v>
      </c>
      <c r="D7" s="224" t="s">
        <v>2421</v>
      </c>
      <c r="E7" s="224" t="s">
        <v>2177</v>
      </c>
      <c r="F7" s="224" t="s">
        <v>2422</v>
      </c>
      <c r="G7" s="172" t="s">
        <v>2401</v>
      </c>
      <c r="H7" s="224" t="s">
        <v>2414</v>
      </c>
      <c r="I7" s="224" t="s">
        <v>2185</v>
      </c>
      <c r="J7" s="172" t="s">
        <v>2402</v>
      </c>
      <c r="K7" s="172" t="s">
        <v>2403</v>
      </c>
      <c r="L7" s="172" t="s">
        <v>2404</v>
      </c>
      <c r="M7" s="224" t="s">
        <v>2418</v>
      </c>
      <c r="N7" s="172"/>
      <c r="O7" s="172" t="s">
        <v>2405</v>
      </c>
      <c r="P7" s="224" t="s">
        <v>2415</v>
      </c>
      <c r="Q7" s="172" t="s">
        <v>2406</v>
      </c>
      <c r="R7" s="172" t="s">
        <v>2407</v>
      </c>
      <c r="S7" s="224" t="s">
        <v>2416</v>
      </c>
      <c r="T7" s="172"/>
      <c r="U7" s="172" t="s">
        <v>2405</v>
      </c>
      <c r="V7" s="172" t="s">
        <v>2415</v>
      </c>
      <c r="W7" s="172" t="s">
        <v>2406</v>
      </c>
      <c r="X7" s="172" t="s">
        <v>2408</v>
      </c>
      <c r="Y7" s="224" t="s">
        <v>2416</v>
      </c>
      <c r="Z7" s="172"/>
      <c r="AA7" s="224">
        <v>5</v>
      </c>
      <c r="AB7" s="224" t="s">
        <v>2178</v>
      </c>
      <c r="AC7" s="224"/>
      <c r="AD7" s="224">
        <v>1</v>
      </c>
      <c r="AE7" s="172">
        <v>600600</v>
      </c>
      <c r="AF7" s="172">
        <f t="shared" si="3"/>
        <v>600600</v>
      </c>
      <c r="AG7" s="237">
        <v>45748</v>
      </c>
      <c r="AH7" s="238">
        <v>45748</v>
      </c>
      <c r="AI7" s="224" t="s">
        <v>2184</v>
      </c>
      <c r="AJ7" s="238">
        <v>47573</v>
      </c>
      <c r="AK7" s="224" t="s">
        <v>394</v>
      </c>
      <c r="AL7" s="224" t="s">
        <v>2412</v>
      </c>
      <c r="AM7" s="224"/>
      <c r="AN7" s="224"/>
      <c r="AO7" s="238">
        <v>45748</v>
      </c>
      <c r="AP7" s="172" t="s">
        <v>2419</v>
      </c>
      <c r="AQ7" s="172" t="str">
        <f t="shared" si="4"/>
        <v/>
      </c>
      <c r="AR7" s="172"/>
      <c r="AT7" t="s">
        <v>2455</v>
      </c>
      <c r="AU7" s="169">
        <v>600600</v>
      </c>
      <c r="AV7" s="169">
        <v>406200</v>
      </c>
      <c r="AW7">
        <f t="shared" si="0"/>
        <v>1827600</v>
      </c>
      <c r="AX7">
        <f t="shared" si="1"/>
        <v>1359600</v>
      </c>
      <c r="AZ7" t="str">
        <f>IF(_xlfn.XLOOKUP($AK7,価格表__卸価格[品番],価格表__卸価格[代替],"")=0,"",_xlfn.XLOOKUP($AK7,価格表__卸価格[品番],価格表__卸価格[代替],""))</f>
        <v/>
      </c>
    </row>
    <row r="8" spans="1:52" ht="24.75" customHeight="1">
      <c r="A8" s="172">
        <f t="shared" si="2"/>
        <v>4</v>
      </c>
      <c r="B8" s="224" t="s">
        <v>2423</v>
      </c>
      <c r="C8" s="224" t="s">
        <v>2420</v>
      </c>
      <c r="D8" s="224" t="s">
        <v>2421</v>
      </c>
      <c r="E8" s="224" t="s">
        <v>2177</v>
      </c>
      <c r="F8" s="224" t="s">
        <v>2422</v>
      </c>
      <c r="G8" s="172" t="s">
        <v>2401</v>
      </c>
      <c r="H8" s="224" t="s">
        <v>2414</v>
      </c>
      <c r="I8" s="224" t="s">
        <v>2185</v>
      </c>
      <c r="J8" s="172" t="s">
        <v>2402</v>
      </c>
      <c r="K8" s="172" t="s">
        <v>2403</v>
      </c>
      <c r="L8" s="172" t="s">
        <v>2404</v>
      </c>
      <c r="M8" s="224" t="s">
        <v>2418</v>
      </c>
      <c r="N8" s="172"/>
      <c r="O8" s="172" t="s">
        <v>2405</v>
      </c>
      <c r="P8" s="224" t="s">
        <v>2415</v>
      </c>
      <c r="Q8" s="172" t="s">
        <v>2406</v>
      </c>
      <c r="R8" s="172" t="s">
        <v>2407</v>
      </c>
      <c r="S8" s="224" t="s">
        <v>2416</v>
      </c>
      <c r="T8" s="172"/>
      <c r="U8" s="172" t="s">
        <v>2405</v>
      </c>
      <c r="V8" s="172" t="s">
        <v>2415</v>
      </c>
      <c r="W8" s="172" t="s">
        <v>2406</v>
      </c>
      <c r="X8" s="172" t="s">
        <v>2408</v>
      </c>
      <c r="Y8" s="224" t="s">
        <v>2416</v>
      </c>
      <c r="Z8" s="172"/>
      <c r="AA8" s="224">
        <v>5</v>
      </c>
      <c r="AB8" s="224" t="s">
        <v>2178</v>
      </c>
      <c r="AC8" s="224"/>
      <c r="AD8" s="224">
        <v>1</v>
      </c>
      <c r="AE8" s="172">
        <v>600600</v>
      </c>
      <c r="AF8" s="172">
        <f t="shared" si="3"/>
        <v>600600</v>
      </c>
      <c r="AG8" s="237">
        <v>45748</v>
      </c>
      <c r="AH8" s="238">
        <v>45748</v>
      </c>
      <c r="AI8" s="224" t="s">
        <v>2184</v>
      </c>
      <c r="AJ8" s="238">
        <v>47573</v>
      </c>
      <c r="AK8" s="224" t="s">
        <v>394</v>
      </c>
      <c r="AL8" s="224" t="s">
        <v>2413</v>
      </c>
      <c r="AM8" s="224"/>
      <c r="AN8" s="224"/>
      <c r="AO8" s="238">
        <v>45748</v>
      </c>
      <c r="AP8" s="172" t="s">
        <v>2419</v>
      </c>
      <c r="AQ8" s="172" t="str">
        <f t="shared" si="4"/>
        <v/>
      </c>
      <c r="AR8" s="172"/>
      <c r="AT8" t="s">
        <v>2455</v>
      </c>
      <c r="AU8" s="169">
        <v>600600</v>
      </c>
      <c r="AV8" s="169">
        <v>406200</v>
      </c>
      <c r="AW8">
        <f t="shared" si="0"/>
        <v>1827600</v>
      </c>
      <c r="AX8">
        <f t="shared" si="1"/>
        <v>1359600</v>
      </c>
      <c r="AZ8" t="str">
        <f>IF(_xlfn.XLOOKUP($AK8,価格表__卸価格[品番],価格表__卸価格[代替],"")=0,"",_xlfn.XLOOKUP($AK8,価格表__卸価格[品番],価格表__卸価格[代替],""))</f>
        <v/>
      </c>
    </row>
    <row r="9" spans="1:52" ht="24.75" customHeight="1">
      <c r="A9" s="172">
        <f>ROW() - 4</f>
        <v>5</v>
      </c>
      <c r="B9" s="224" t="s">
        <v>2459</v>
      </c>
      <c r="C9" s="224" t="s">
        <v>2507</v>
      </c>
      <c r="D9" s="224" t="s">
        <v>2508</v>
      </c>
      <c r="E9" s="224" t="s">
        <v>2177</v>
      </c>
      <c r="F9" s="224" t="s">
        <v>2422</v>
      </c>
      <c r="G9" s="172" t="s">
        <v>2506</v>
      </c>
      <c r="H9" s="224" t="s">
        <v>2502</v>
      </c>
      <c r="I9" s="224" t="s">
        <v>2185</v>
      </c>
      <c r="J9" s="172" t="s">
        <v>2461</v>
      </c>
      <c r="K9" s="172" t="s">
        <v>2462</v>
      </c>
      <c r="L9" s="172" t="s">
        <v>2463</v>
      </c>
      <c r="M9" s="172" t="s">
        <v>2503</v>
      </c>
      <c r="N9" s="172"/>
      <c r="O9" s="172" t="s">
        <v>2464</v>
      </c>
      <c r="P9" s="224" t="s">
        <v>2504</v>
      </c>
      <c r="Q9" s="172" t="s">
        <v>2465</v>
      </c>
      <c r="R9" s="172" t="s">
        <v>2466</v>
      </c>
      <c r="S9" s="224" t="s">
        <v>2505</v>
      </c>
      <c r="T9" s="172"/>
      <c r="U9" s="172" t="s">
        <v>2460</v>
      </c>
      <c r="V9" s="172" t="s">
        <v>2502</v>
      </c>
      <c r="W9" s="172" t="s">
        <v>2467</v>
      </c>
      <c r="X9" s="172" t="s">
        <v>2463</v>
      </c>
      <c r="Y9" s="224" t="s">
        <v>2503</v>
      </c>
      <c r="Z9" s="172"/>
      <c r="AA9" s="224">
        <v>5</v>
      </c>
      <c r="AB9" s="224" t="s">
        <v>2178</v>
      </c>
      <c r="AC9" s="224"/>
      <c r="AD9" s="224">
        <v>1</v>
      </c>
      <c r="AE9" s="172">
        <v>277200</v>
      </c>
      <c r="AF9" s="172">
        <f>AE9</f>
        <v>277200</v>
      </c>
      <c r="AG9" s="237">
        <v>45748</v>
      </c>
      <c r="AH9" s="238">
        <v>45748</v>
      </c>
      <c r="AI9" s="172" t="s">
        <v>2184</v>
      </c>
      <c r="AJ9" s="238">
        <v>47573</v>
      </c>
      <c r="AK9" s="172" t="s">
        <v>2469</v>
      </c>
      <c r="AL9" s="172" t="s">
        <v>2470</v>
      </c>
      <c r="AM9" s="172"/>
      <c r="AN9" s="172"/>
      <c r="AO9" s="239">
        <v>45768</v>
      </c>
      <c r="AP9" s="172" t="s">
        <v>2509</v>
      </c>
      <c r="AQ9" s="172" t="str">
        <f>IF(COUNTIF($AN9,"*消耗部品交換対象*"),IF(ISBLANK($AH9),"契約期間 未入力",EDATE($AH9,30)),"")</f>
        <v/>
      </c>
      <c r="AR9" s="172" t="s">
        <v>2468</v>
      </c>
      <c r="AU9" s="169"/>
      <c r="AV9" s="169"/>
      <c r="AW9">
        <f t="shared" si="0"/>
        <v>648000</v>
      </c>
      <c r="AX9">
        <f t="shared" si="1"/>
        <v>432000</v>
      </c>
      <c r="AZ9" t="str">
        <f>IF(_xlfn.XLOOKUP($AK9,価格表__卸価格[品番],価格表__卸価格[代替],"")=0,"",_xlfn.XLOOKUP($AK9,価格表__卸価格[品番],価格表__卸価格[代替],""))</f>
        <v/>
      </c>
    </row>
    <row r="10" spans="1:52" ht="24.75" customHeight="1">
      <c r="A10" s="172">
        <f t="shared" ref="A10:A39" si="5">ROW() - 4</f>
        <v>6</v>
      </c>
      <c r="B10" s="224" t="s">
        <v>2459</v>
      </c>
      <c r="C10" s="224" t="s">
        <v>2507</v>
      </c>
      <c r="D10" s="224" t="s">
        <v>2508</v>
      </c>
      <c r="E10" s="224" t="s">
        <v>2177</v>
      </c>
      <c r="F10" s="224" t="s">
        <v>2422</v>
      </c>
      <c r="G10" s="172" t="s">
        <v>2460</v>
      </c>
      <c r="H10" s="224" t="s">
        <v>2502</v>
      </c>
      <c r="I10" s="224" t="s">
        <v>2185</v>
      </c>
      <c r="J10" s="172" t="s">
        <v>2461</v>
      </c>
      <c r="K10" s="172" t="s">
        <v>2462</v>
      </c>
      <c r="L10" s="172" t="s">
        <v>2463</v>
      </c>
      <c r="M10" s="172" t="s">
        <v>2503</v>
      </c>
      <c r="N10" s="172"/>
      <c r="O10" s="172" t="s">
        <v>2464</v>
      </c>
      <c r="P10" s="224" t="s">
        <v>2504</v>
      </c>
      <c r="Q10" s="172" t="s">
        <v>2465</v>
      </c>
      <c r="R10" s="172" t="s">
        <v>2466</v>
      </c>
      <c r="S10" s="224" t="s">
        <v>2505</v>
      </c>
      <c r="T10" s="172"/>
      <c r="U10" s="172" t="s">
        <v>2460</v>
      </c>
      <c r="V10" s="172" t="s">
        <v>2502</v>
      </c>
      <c r="W10" s="172" t="s">
        <v>2467</v>
      </c>
      <c r="X10" s="172" t="s">
        <v>2463</v>
      </c>
      <c r="Y10" s="224" t="s">
        <v>2503</v>
      </c>
      <c r="Z10" s="172"/>
      <c r="AA10" s="224">
        <v>5</v>
      </c>
      <c r="AB10" s="224" t="s">
        <v>2178</v>
      </c>
      <c r="AC10" s="224"/>
      <c r="AD10" s="224">
        <v>1</v>
      </c>
      <c r="AE10" s="172">
        <v>164080</v>
      </c>
      <c r="AF10" s="172">
        <f t="shared" ref="AF10:AF39" si="6">AE10</f>
        <v>164080</v>
      </c>
      <c r="AG10" s="237">
        <v>45748</v>
      </c>
      <c r="AH10" s="238">
        <v>45748</v>
      </c>
      <c r="AI10" s="172" t="s">
        <v>2184</v>
      </c>
      <c r="AJ10" s="238">
        <v>47573</v>
      </c>
      <c r="AK10" s="172" t="s">
        <v>2471</v>
      </c>
      <c r="AL10" s="172" t="s">
        <v>2472</v>
      </c>
      <c r="AM10" s="172"/>
      <c r="AN10" s="172"/>
      <c r="AO10" s="239">
        <v>45768</v>
      </c>
      <c r="AP10" s="172" t="s">
        <v>2509</v>
      </c>
      <c r="AQ10" s="172" t="str">
        <f t="shared" ref="AQ10:AQ39" si="7">IF(COUNTIF($AN10,"*消耗部品交換対象*"),IF(ISBLANK($AH10),"契約期間 未入力",EDATE($AH10,30)),"")</f>
        <v/>
      </c>
      <c r="AR10" s="172"/>
      <c r="AU10" s="169"/>
      <c r="AV10" s="169"/>
      <c r="AW10">
        <f t="shared" si="0"/>
        <v>648000</v>
      </c>
      <c r="AX10">
        <f t="shared" si="1"/>
        <v>432000</v>
      </c>
      <c r="AZ10" t="str">
        <f>IF(_xlfn.XLOOKUP($AK10,価格表__卸価格[品番],価格表__卸価格[代替],"")=0,"",_xlfn.XLOOKUP($AK10,価格表__卸価格[品番],価格表__卸価格[代替],""))</f>
        <v/>
      </c>
    </row>
    <row r="11" spans="1:52" ht="24.75" customHeight="1">
      <c r="A11" s="172">
        <f t="shared" si="5"/>
        <v>7</v>
      </c>
      <c r="B11" s="224" t="s">
        <v>2459</v>
      </c>
      <c r="C11" s="224" t="s">
        <v>2507</v>
      </c>
      <c r="D11" s="224" t="s">
        <v>2508</v>
      </c>
      <c r="E11" s="224" t="s">
        <v>2177</v>
      </c>
      <c r="F11" s="224" t="s">
        <v>2422</v>
      </c>
      <c r="G11" s="172" t="s">
        <v>2460</v>
      </c>
      <c r="H11" s="224" t="s">
        <v>2502</v>
      </c>
      <c r="I11" s="224" t="s">
        <v>2185</v>
      </c>
      <c r="J11" s="172" t="s">
        <v>2461</v>
      </c>
      <c r="K11" s="172" t="s">
        <v>2462</v>
      </c>
      <c r="L11" s="172" t="s">
        <v>2463</v>
      </c>
      <c r="M11" s="172" t="s">
        <v>2503</v>
      </c>
      <c r="N11" s="172"/>
      <c r="O11" s="172" t="s">
        <v>2464</v>
      </c>
      <c r="P11" s="224" t="s">
        <v>2504</v>
      </c>
      <c r="Q11" s="172" t="s">
        <v>2465</v>
      </c>
      <c r="R11" s="172" t="s">
        <v>2466</v>
      </c>
      <c r="S11" s="224" t="s">
        <v>2505</v>
      </c>
      <c r="T11" s="172"/>
      <c r="U11" s="172" t="s">
        <v>2460</v>
      </c>
      <c r="V11" s="172" t="s">
        <v>2502</v>
      </c>
      <c r="W11" s="172" t="s">
        <v>2467</v>
      </c>
      <c r="X11" s="172" t="s">
        <v>2463</v>
      </c>
      <c r="Y11" s="224" t="s">
        <v>2503</v>
      </c>
      <c r="Z11" s="172"/>
      <c r="AA11" s="224">
        <v>5</v>
      </c>
      <c r="AB11" s="224" t="s">
        <v>2178</v>
      </c>
      <c r="AC11" s="224"/>
      <c r="AD11" s="224">
        <v>1</v>
      </c>
      <c r="AE11" s="172">
        <v>164080</v>
      </c>
      <c r="AF11" s="172">
        <f t="shared" si="6"/>
        <v>164080</v>
      </c>
      <c r="AG11" s="237">
        <v>45748</v>
      </c>
      <c r="AH11" s="238">
        <v>45748</v>
      </c>
      <c r="AI11" s="172" t="s">
        <v>2184</v>
      </c>
      <c r="AJ11" s="238">
        <v>47573</v>
      </c>
      <c r="AK11" s="172" t="s">
        <v>2471</v>
      </c>
      <c r="AL11" s="172" t="s">
        <v>2473</v>
      </c>
      <c r="AM11" s="172"/>
      <c r="AN11" s="172"/>
      <c r="AO11" s="239">
        <v>45768</v>
      </c>
      <c r="AP11" s="172" t="s">
        <v>2509</v>
      </c>
      <c r="AQ11" s="172" t="str">
        <f t="shared" si="7"/>
        <v/>
      </c>
      <c r="AR11" s="172"/>
      <c r="AU11" s="169"/>
      <c r="AV11" s="169"/>
      <c r="AW11">
        <f t="shared" si="0"/>
        <v>648000</v>
      </c>
      <c r="AX11">
        <f t="shared" si="1"/>
        <v>432000</v>
      </c>
      <c r="AZ11" t="str">
        <f>IF(_xlfn.XLOOKUP($AK11,価格表__卸価格[品番],価格表__卸価格[代替],"")=0,"",_xlfn.XLOOKUP($AK11,価格表__卸価格[品番],価格表__卸価格[代替],""))</f>
        <v/>
      </c>
    </row>
    <row r="12" spans="1:52" ht="24.75" customHeight="1">
      <c r="A12" s="172">
        <f t="shared" si="5"/>
        <v>8</v>
      </c>
      <c r="B12" s="224" t="s">
        <v>2459</v>
      </c>
      <c r="C12" s="224" t="s">
        <v>2507</v>
      </c>
      <c r="D12" s="224" t="s">
        <v>2508</v>
      </c>
      <c r="E12" s="224" t="s">
        <v>2177</v>
      </c>
      <c r="F12" s="224" t="s">
        <v>2422</v>
      </c>
      <c r="G12" s="172" t="s">
        <v>2460</v>
      </c>
      <c r="H12" s="224" t="s">
        <v>2502</v>
      </c>
      <c r="I12" s="224" t="s">
        <v>2185</v>
      </c>
      <c r="J12" s="172" t="s">
        <v>2461</v>
      </c>
      <c r="K12" s="172" t="s">
        <v>2462</v>
      </c>
      <c r="L12" s="172" t="s">
        <v>2463</v>
      </c>
      <c r="M12" s="172" t="s">
        <v>2503</v>
      </c>
      <c r="N12" s="172"/>
      <c r="O12" s="172" t="s">
        <v>2464</v>
      </c>
      <c r="P12" s="224" t="s">
        <v>2504</v>
      </c>
      <c r="Q12" s="172" t="s">
        <v>2465</v>
      </c>
      <c r="R12" s="172" t="s">
        <v>2466</v>
      </c>
      <c r="S12" s="224" t="s">
        <v>2505</v>
      </c>
      <c r="T12" s="172"/>
      <c r="U12" s="172" t="s">
        <v>2460</v>
      </c>
      <c r="V12" s="172" t="s">
        <v>2502</v>
      </c>
      <c r="W12" s="172" t="s">
        <v>2467</v>
      </c>
      <c r="X12" s="172" t="s">
        <v>2463</v>
      </c>
      <c r="Y12" s="224" t="s">
        <v>2503</v>
      </c>
      <c r="Z12" s="172"/>
      <c r="AA12" s="224">
        <v>5</v>
      </c>
      <c r="AB12" s="224" t="s">
        <v>2178</v>
      </c>
      <c r="AC12" s="224"/>
      <c r="AD12" s="224">
        <v>1</v>
      </c>
      <c r="AE12" s="172">
        <v>164080</v>
      </c>
      <c r="AF12" s="172">
        <f t="shared" si="6"/>
        <v>164080</v>
      </c>
      <c r="AG12" s="237">
        <v>45748</v>
      </c>
      <c r="AH12" s="238">
        <v>45748</v>
      </c>
      <c r="AI12" s="172" t="s">
        <v>2184</v>
      </c>
      <c r="AJ12" s="238">
        <v>47573</v>
      </c>
      <c r="AK12" s="172" t="s">
        <v>2471</v>
      </c>
      <c r="AL12" s="172" t="s">
        <v>2474</v>
      </c>
      <c r="AM12" s="172"/>
      <c r="AN12" s="172"/>
      <c r="AO12" s="239">
        <v>45768</v>
      </c>
      <c r="AP12" s="172" t="s">
        <v>2509</v>
      </c>
      <c r="AQ12" s="172" t="str">
        <f t="shared" si="7"/>
        <v/>
      </c>
      <c r="AR12" s="172"/>
      <c r="AU12" s="169"/>
      <c r="AV12" s="169"/>
      <c r="AW12">
        <f t="shared" si="0"/>
        <v>648000</v>
      </c>
      <c r="AX12">
        <f t="shared" si="1"/>
        <v>432000</v>
      </c>
      <c r="AZ12" t="str">
        <f>IF(_xlfn.XLOOKUP($AK12,価格表__卸価格[品番],価格表__卸価格[代替],"")=0,"",_xlfn.XLOOKUP($AK12,価格表__卸価格[品番],価格表__卸価格[代替],""))</f>
        <v/>
      </c>
    </row>
    <row r="13" spans="1:52" ht="24.75" customHeight="1">
      <c r="A13" s="172">
        <f t="shared" si="5"/>
        <v>9</v>
      </c>
      <c r="B13" s="224" t="s">
        <v>2459</v>
      </c>
      <c r="C13" s="224" t="s">
        <v>2507</v>
      </c>
      <c r="D13" s="224" t="s">
        <v>2508</v>
      </c>
      <c r="E13" s="224" t="s">
        <v>2177</v>
      </c>
      <c r="F13" s="224" t="s">
        <v>2422</v>
      </c>
      <c r="G13" s="172" t="s">
        <v>2460</v>
      </c>
      <c r="H13" s="224" t="s">
        <v>2502</v>
      </c>
      <c r="I13" s="224" t="s">
        <v>2185</v>
      </c>
      <c r="J13" s="172" t="s">
        <v>2461</v>
      </c>
      <c r="K13" s="172" t="s">
        <v>2462</v>
      </c>
      <c r="L13" s="172" t="s">
        <v>2463</v>
      </c>
      <c r="M13" s="172" t="s">
        <v>2503</v>
      </c>
      <c r="N13" s="172"/>
      <c r="O13" s="172" t="s">
        <v>2464</v>
      </c>
      <c r="P13" s="224" t="s">
        <v>2504</v>
      </c>
      <c r="Q13" s="172" t="s">
        <v>2465</v>
      </c>
      <c r="R13" s="172" t="s">
        <v>2466</v>
      </c>
      <c r="S13" s="224" t="s">
        <v>2505</v>
      </c>
      <c r="T13" s="172"/>
      <c r="U13" s="172" t="s">
        <v>2460</v>
      </c>
      <c r="V13" s="172" t="s">
        <v>2502</v>
      </c>
      <c r="W13" s="172" t="s">
        <v>2467</v>
      </c>
      <c r="X13" s="172" t="s">
        <v>2463</v>
      </c>
      <c r="Y13" s="224" t="s">
        <v>2503</v>
      </c>
      <c r="Z13" s="172"/>
      <c r="AA13" s="224">
        <v>5</v>
      </c>
      <c r="AB13" s="224" t="s">
        <v>2178</v>
      </c>
      <c r="AC13" s="224"/>
      <c r="AD13" s="224">
        <v>1</v>
      </c>
      <c r="AE13" s="172">
        <v>164080</v>
      </c>
      <c r="AF13" s="172">
        <f t="shared" si="6"/>
        <v>164080</v>
      </c>
      <c r="AG13" s="237">
        <v>45748</v>
      </c>
      <c r="AH13" s="238">
        <v>45748</v>
      </c>
      <c r="AI13" s="172" t="s">
        <v>2184</v>
      </c>
      <c r="AJ13" s="238">
        <v>47573</v>
      </c>
      <c r="AK13" s="172" t="s">
        <v>2471</v>
      </c>
      <c r="AL13" s="172" t="s">
        <v>2475</v>
      </c>
      <c r="AM13" s="172"/>
      <c r="AN13" s="172"/>
      <c r="AO13" s="239">
        <v>45768</v>
      </c>
      <c r="AP13" s="172" t="s">
        <v>2509</v>
      </c>
      <c r="AQ13" s="172" t="str">
        <f t="shared" si="7"/>
        <v/>
      </c>
      <c r="AR13" s="172"/>
      <c r="AU13" s="169"/>
      <c r="AV13" s="169"/>
      <c r="AW13">
        <f t="shared" si="0"/>
        <v>648000</v>
      </c>
      <c r="AX13">
        <f t="shared" si="1"/>
        <v>432000</v>
      </c>
      <c r="AZ13" t="str">
        <f>IF(_xlfn.XLOOKUP($AK13,価格表__卸価格[品番],価格表__卸価格[代替],"")=0,"",_xlfn.XLOOKUP($AK13,価格表__卸価格[品番],価格表__卸価格[代替],""))</f>
        <v/>
      </c>
    </row>
    <row r="14" spans="1:52" ht="24.75" customHeight="1">
      <c r="A14" s="172">
        <f t="shared" si="5"/>
        <v>10</v>
      </c>
      <c r="B14" s="224" t="s">
        <v>2459</v>
      </c>
      <c r="C14" s="224" t="s">
        <v>2507</v>
      </c>
      <c r="D14" s="224" t="s">
        <v>2508</v>
      </c>
      <c r="E14" s="224" t="s">
        <v>2177</v>
      </c>
      <c r="F14" s="224" t="s">
        <v>2422</v>
      </c>
      <c r="G14" s="172" t="s">
        <v>2460</v>
      </c>
      <c r="H14" s="224" t="s">
        <v>2502</v>
      </c>
      <c r="I14" s="224" t="s">
        <v>2185</v>
      </c>
      <c r="J14" s="172" t="s">
        <v>2461</v>
      </c>
      <c r="K14" s="172" t="s">
        <v>2462</v>
      </c>
      <c r="L14" s="172" t="s">
        <v>2463</v>
      </c>
      <c r="M14" s="172" t="s">
        <v>2503</v>
      </c>
      <c r="N14" s="172"/>
      <c r="O14" s="172" t="s">
        <v>2464</v>
      </c>
      <c r="P14" s="224" t="s">
        <v>2504</v>
      </c>
      <c r="Q14" s="172" t="s">
        <v>2465</v>
      </c>
      <c r="R14" s="172" t="s">
        <v>2466</v>
      </c>
      <c r="S14" s="224" t="s">
        <v>2505</v>
      </c>
      <c r="T14" s="172"/>
      <c r="U14" s="172" t="s">
        <v>2460</v>
      </c>
      <c r="V14" s="172" t="s">
        <v>2502</v>
      </c>
      <c r="W14" s="172" t="s">
        <v>2467</v>
      </c>
      <c r="X14" s="172" t="s">
        <v>2463</v>
      </c>
      <c r="Y14" s="224" t="s">
        <v>2503</v>
      </c>
      <c r="Z14" s="172"/>
      <c r="AA14" s="224">
        <v>5</v>
      </c>
      <c r="AB14" s="224" t="s">
        <v>2178</v>
      </c>
      <c r="AC14" s="224"/>
      <c r="AD14" s="224">
        <v>1</v>
      </c>
      <c r="AE14" s="172">
        <v>164080</v>
      </c>
      <c r="AF14" s="172">
        <f t="shared" si="6"/>
        <v>164080</v>
      </c>
      <c r="AG14" s="237">
        <v>45748</v>
      </c>
      <c r="AH14" s="238">
        <v>45748</v>
      </c>
      <c r="AI14" s="172" t="s">
        <v>2184</v>
      </c>
      <c r="AJ14" s="238">
        <v>47573</v>
      </c>
      <c r="AK14" s="172" t="s">
        <v>2471</v>
      </c>
      <c r="AL14" s="172" t="s">
        <v>2476</v>
      </c>
      <c r="AM14" s="172"/>
      <c r="AN14" s="172"/>
      <c r="AO14" s="239">
        <v>45768</v>
      </c>
      <c r="AP14" s="172" t="s">
        <v>2509</v>
      </c>
      <c r="AQ14" s="172" t="str">
        <f t="shared" si="7"/>
        <v/>
      </c>
      <c r="AR14" s="172"/>
      <c r="AU14" s="169"/>
      <c r="AV14" s="169"/>
      <c r="AW14">
        <f t="shared" si="0"/>
        <v>648000</v>
      </c>
      <c r="AX14">
        <f t="shared" si="1"/>
        <v>432000</v>
      </c>
      <c r="AZ14" t="str">
        <f>IF(_xlfn.XLOOKUP($AK14,価格表__卸価格[品番],価格表__卸価格[代替],"")=0,"",_xlfn.XLOOKUP($AK14,価格表__卸価格[品番],価格表__卸価格[代替],""))</f>
        <v/>
      </c>
    </row>
    <row r="15" spans="1:52" ht="24.75" customHeight="1">
      <c r="A15" s="172">
        <f t="shared" si="5"/>
        <v>11</v>
      </c>
      <c r="B15" s="224" t="s">
        <v>2459</v>
      </c>
      <c r="C15" s="224" t="s">
        <v>2507</v>
      </c>
      <c r="D15" s="224" t="s">
        <v>2508</v>
      </c>
      <c r="E15" s="224" t="s">
        <v>2177</v>
      </c>
      <c r="F15" s="224" t="s">
        <v>2422</v>
      </c>
      <c r="G15" s="172" t="s">
        <v>2460</v>
      </c>
      <c r="H15" s="224" t="s">
        <v>2502</v>
      </c>
      <c r="I15" s="224" t="s">
        <v>2185</v>
      </c>
      <c r="J15" s="172" t="s">
        <v>2461</v>
      </c>
      <c r="K15" s="172" t="s">
        <v>2462</v>
      </c>
      <c r="L15" s="172" t="s">
        <v>2463</v>
      </c>
      <c r="M15" s="172" t="s">
        <v>2503</v>
      </c>
      <c r="N15" s="172"/>
      <c r="O15" s="172" t="s">
        <v>2464</v>
      </c>
      <c r="P15" s="224" t="s">
        <v>2504</v>
      </c>
      <c r="Q15" s="172" t="s">
        <v>2465</v>
      </c>
      <c r="R15" s="172" t="s">
        <v>2466</v>
      </c>
      <c r="S15" s="224" t="s">
        <v>2505</v>
      </c>
      <c r="T15" s="172"/>
      <c r="U15" s="172" t="s">
        <v>2460</v>
      </c>
      <c r="V15" s="172" t="s">
        <v>2502</v>
      </c>
      <c r="W15" s="172" t="s">
        <v>2467</v>
      </c>
      <c r="X15" s="172" t="s">
        <v>2463</v>
      </c>
      <c r="Y15" s="224" t="s">
        <v>2503</v>
      </c>
      <c r="Z15" s="172"/>
      <c r="AA15" s="224">
        <v>5</v>
      </c>
      <c r="AB15" s="224" t="s">
        <v>2178</v>
      </c>
      <c r="AC15" s="224"/>
      <c r="AD15" s="224">
        <v>1</v>
      </c>
      <c r="AE15" s="172">
        <v>164080</v>
      </c>
      <c r="AF15" s="172">
        <f t="shared" si="6"/>
        <v>164080</v>
      </c>
      <c r="AG15" s="237">
        <v>45748</v>
      </c>
      <c r="AH15" s="238">
        <v>45748</v>
      </c>
      <c r="AI15" s="172" t="s">
        <v>2184</v>
      </c>
      <c r="AJ15" s="238">
        <v>47573</v>
      </c>
      <c r="AK15" s="172" t="s">
        <v>2471</v>
      </c>
      <c r="AL15" s="172" t="s">
        <v>2477</v>
      </c>
      <c r="AM15" s="172"/>
      <c r="AN15" s="172"/>
      <c r="AO15" s="239">
        <v>45768</v>
      </c>
      <c r="AP15" s="172" t="s">
        <v>2509</v>
      </c>
      <c r="AQ15" s="172" t="str">
        <f t="shared" si="7"/>
        <v/>
      </c>
      <c r="AR15" s="172"/>
      <c r="AU15" s="169"/>
      <c r="AV15" s="169"/>
      <c r="AW15">
        <f t="shared" si="0"/>
        <v>648000</v>
      </c>
      <c r="AX15">
        <f t="shared" si="1"/>
        <v>432000</v>
      </c>
      <c r="AZ15" t="str">
        <f>IF(_xlfn.XLOOKUP($AK15,価格表__卸価格[品番],価格表__卸価格[代替],"")=0,"",_xlfn.XLOOKUP($AK15,価格表__卸価格[品番],価格表__卸価格[代替],""))</f>
        <v/>
      </c>
    </row>
    <row r="16" spans="1:52" ht="24.75" customHeight="1">
      <c r="A16" s="172">
        <f t="shared" si="5"/>
        <v>12</v>
      </c>
      <c r="B16" s="224" t="s">
        <v>2459</v>
      </c>
      <c r="C16" s="224" t="s">
        <v>2507</v>
      </c>
      <c r="D16" s="224" t="s">
        <v>2508</v>
      </c>
      <c r="E16" s="224" t="s">
        <v>2177</v>
      </c>
      <c r="F16" s="224" t="s">
        <v>2422</v>
      </c>
      <c r="G16" s="172" t="s">
        <v>2460</v>
      </c>
      <c r="H16" s="224" t="s">
        <v>2502</v>
      </c>
      <c r="I16" s="224" t="s">
        <v>2185</v>
      </c>
      <c r="J16" s="172" t="s">
        <v>2461</v>
      </c>
      <c r="K16" s="172" t="s">
        <v>2462</v>
      </c>
      <c r="L16" s="172" t="s">
        <v>2463</v>
      </c>
      <c r="M16" s="172" t="s">
        <v>2503</v>
      </c>
      <c r="N16" s="172"/>
      <c r="O16" s="172" t="s">
        <v>2464</v>
      </c>
      <c r="P16" s="224" t="s">
        <v>2504</v>
      </c>
      <c r="Q16" s="172" t="s">
        <v>2465</v>
      </c>
      <c r="R16" s="172" t="s">
        <v>2466</v>
      </c>
      <c r="S16" s="224" t="s">
        <v>2505</v>
      </c>
      <c r="T16" s="172"/>
      <c r="U16" s="172" t="s">
        <v>2460</v>
      </c>
      <c r="V16" s="172" t="s">
        <v>2502</v>
      </c>
      <c r="W16" s="172" t="s">
        <v>2467</v>
      </c>
      <c r="X16" s="172" t="s">
        <v>2463</v>
      </c>
      <c r="Y16" s="224" t="s">
        <v>2503</v>
      </c>
      <c r="Z16" s="172"/>
      <c r="AA16" s="224">
        <v>5</v>
      </c>
      <c r="AB16" s="224" t="s">
        <v>2178</v>
      </c>
      <c r="AC16" s="224"/>
      <c r="AD16" s="224">
        <v>1</v>
      </c>
      <c r="AE16" s="172">
        <v>27000</v>
      </c>
      <c r="AF16" s="172">
        <f t="shared" si="6"/>
        <v>27000</v>
      </c>
      <c r="AG16" s="237">
        <v>45748</v>
      </c>
      <c r="AH16" s="238">
        <v>45748</v>
      </c>
      <c r="AI16" s="172" t="s">
        <v>2184</v>
      </c>
      <c r="AJ16" s="238">
        <v>47573</v>
      </c>
      <c r="AK16" s="172" t="s">
        <v>1542</v>
      </c>
      <c r="AL16" s="172" t="s">
        <v>2478</v>
      </c>
      <c r="AM16" s="172"/>
      <c r="AN16" s="172"/>
      <c r="AO16" s="239">
        <v>45768</v>
      </c>
      <c r="AP16" s="172" t="s">
        <v>2509</v>
      </c>
      <c r="AQ16" s="172" t="str">
        <f t="shared" si="7"/>
        <v/>
      </c>
      <c r="AR16" s="172"/>
      <c r="AT16" t="s">
        <v>2555</v>
      </c>
      <c r="AU16" s="169">
        <v>27000</v>
      </c>
      <c r="AV16" s="169">
        <v>18000</v>
      </c>
      <c r="AW16">
        <f t="shared" si="0"/>
        <v>648000</v>
      </c>
      <c r="AX16">
        <f t="shared" si="1"/>
        <v>432000</v>
      </c>
      <c r="AZ16" t="str">
        <f>IF(_xlfn.XLOOKUP($AK16,価格表__卸価格[品番],価格表__卸価格[代替],"")=0,"",_xlfn.XLOOKUP($AK16,価格表__卸価格[品番],価格表__卸価格[代替],""))</f>
        <v>代替品</v>
      </c>
    </row>
    <row r="17" spans="1:52" ht="24.75" customHeight="1">
      <c r="A17" s="172">
        <f t="shared" si="5"/>
        <v>13</v>
      </c>
      <c r="B17" s="224" t="s">
        <v>2459</v>
      </c>
      <c r="C17" s="224" t="s">
        <v>2507</v>
      </c>
      <c r="D17" s="224" t="s">
        <v>2508</v>
      </c>
      <c r="E17" s="224" t="s">
        <v>2177</v>
      </c>
      <c r="F17" s="224" t="s">
        <v>2422</v>
      </c>
      <c r="G17" s="172" t="s">
        <v>2460</v>
      </c>
      <c r="H17" s="224" t="s">
        <v>2502</v>
      </c>
      <c r="I17" s="224" t="s">
        <v>2185</v>
      </c>
      <c r="J17" s="172" t="s">
        <v>2461</v>
      </c>
      <c r="K17" s="172" t="s">
        <v>2462</v>
      </c>
      <c r="L17" s="172" t="s">
        <v>2463</v>
      </c>
      <c r="M17" s="172" t="s">
        <v>2503</v>
      </c>
      <c r="N17" s="172"/>
      <c r="O17" s="172" t="s">
        <v>2464</v>
      </c>
      <c r="P17" s="224" t="s">
        <v>2504</v>
      </c>
      <c r="Q17" s="172" t="s">
        <v>2465</v>
      </c>
      <c r="R17" s="172" t="s">
        <v>2466</v>
      </c>
      <c r="S17" s="224" t="s">
        <v>2505</v>
      </c>
      <c r="T17" s="172"/>
      <c r="U17" s="172" t="s">
        <v>2460</v>
      </c>
      <c r="V17" s="172" t="s">
        <v>2502</v>
      </c>
      <c r="W17" s="172" t="s">
        <v>2467</v>
      </c>
      <c r="X17" s="172" t="s">
        <v>2463</v>
      </c>
      <c r="Y17" s="224" t="s">
        <v>2503</v>
      </c>
      <c r="Z17" s="172"/>
      <c r="AA17" s="224">
        <v>5</v>
      </c>
      <c r="AB17" s="224" t="s">
        <v>2178</v>
      </c>
      <c r="AC17" s="224"/>
      <c r="AD17" s="224">
        <v>1</v>
      </c>
      <c r="AE17" s="172">
        <v>27000</v>
      </c>
      <c r="AF17" s="172">
        <f t="shared" si="6"/>
        <v>27000</v>
      </c>
      <c r="AG17" s="237">
        <v>45748</v>
      </c>
      <c r="AH17" s="238">
        <v>45748</v>
      </c>
      <c r="AI17" s="172" t="s">
        <v>2184</v>
      </c>
      <c r="AJ17" s="238">
        <v>47573</v>
      </c>
      <c r="AK17" s="172" t="s">
        <v>1542</v>
      </c>
      <c r="AL17" s="172" t="s">
        <v>2479</v>
      </c>
      <c r="AM17" s="172"/>
      <c r="AN17" s="172"/>
      <c r="AO17" s="239">
        <v>45768</v>
      </c>
      <c r="AP17" s="172" t="s">
        <v>2509</v>
      </c>
      <c r="AQ17" s="172" t="str">
        <f t="shared" si="7"/>
        <v/>
      </c>
      <c r="AR17" s="172"/>
      <c r="AT17" t="s">
        <v>2555</v>
      </c>
      <c r="AU17" s="169">
        <v>27000</v>
      </c>
      <c r="AV17" s="169">
        <v>18000</v>
      </c>
      <c r="AW17">
        <f t="shared" si="0"/>
        <v>648000</v>
      </c>
      <c r="AX17">
        <f t="shared" si="1"/>
        <v>432000</v>
      </c>
      <c r="AZ17" t="str">
        <f>IF(_xlfn.XLOOKUP($AK17,価格表__卸価格[品番],価格表__卸価格[代替],"")=0,"",_xlfn.XLOOKUP($AK17,価格表__卸価格[品番],価格表__卸価格[代替],""))</f>
        <v>代替品</v>
      </c>
    </row>
    <row r="18" spans="1:52" ht="24.75" customHeight="1">
      <c r="A18" s="172">
        <f t="shared" si="5"/>
        <v>14</v>
      </c>
      <c r="B18" s="224" t="s">
        <v>2459</v>
      </c>
      <c r="C18" s="224" t="s">
        <v>2507</v>
      </c>
      <c r="D18" s="224" t="s">
        <v>2508</v>
      </c>
      <c r="E18" s="224" t="s">
        <v>2177</v>
      </c>
      <c r="F18" s="224" t="s">
        <v>2422</v>
      </c>
      <c r="G18" s="172" t="s">
        <v>2460</v>
      </c>
      <c r="H18" s="224" t="s">
        <v>2502</v>
      </c>
      <c r="I18" s="224" t="s">
        <v>2185</v>
      </c>
      <c r="J18" s="172" t="s">
        <v>2461</v>
      </c>
      <c r="K18" s="172" t="s">
        <v>2462</v>
      </c>
      <c r="L18" s="172" t="s">
        <v>2463</v>
      </c>
      <c r="M18" s="172" t="s">
        <v>2503</v>
      </c>
      <c r="N18" s="172"/>
      <c r="O18" s="172" t="s">
        <v>2464</v>
      </c>
      <c r="P18" s="224" t="s">
        <v>2504</v>
      </c>
      <c r="Q18" s="172" t="s">
        <v>2465</v>
      </c>
      <c r="R18" s="172" t="s">
        <v>2466</v>
      </c>
      <c r="S18" s="224" t="s">
        <v>2505</v>
      </c>
      <c r="T18" s="172"/>
      <c r="U18" s="172" t="s">
        <v>2460</v>
      </c>
      <c r="V18" s="172" t="s">
        <v>2502</v>
      </c>
      <c r="W18" s="172" t="s">
        <v>2467</v>
      </c>
      <c r="X18" s="172" t="s">
        <v>2463</v>
      </c>
      <c r="Y18" s="224" t="s">
        <v>2503</v>
      </c>
      <c r="Z18" s="172"/>
      <c r="AA18" s="224">
        <v>5</v>
      </c>
      <c r="AB18" s="224" t="s">
        <v>2178</v>
      </c>
      <c r="AC18" s="224"/>
      <c r="AD18" s="224">
        <v>1</v>
      </c>
      <c r="AE18" s="172">
        <v>27000</v>
      </c>
      <c r="AF18" s="172">
        <f t="shared" si="6"/>
        <v>27000</v>
      </c>
      <c r="AG18" s="237">
        <v>45748</v>
      </c>
      <c r="AH18" s="238">
        <v>45748</v>
      </c>
      <c r="AI18" s="172" t="s">
        <v>2184</v>
      </c>
      <c r="AJ18" s="238">
        <v>47573</v>
      </c>
      <c r="AK18" s="172" t="s">
        <v>1542</v>
      </c>
      <c r="AL18" s="172" t="s">
        <v>2480</v>
      </c>
      <c r="AM18" s="172"/>
      <c r="AN18" s="172"/>
      <c r="AO18" s="239">
        <v>45768</v>
      </c>
      <c r="AP18" s="172" t="s">
        <v>2509</v>
      </c>
      <c r="AQ18" s="172" t="str">
        <f t="shared" si="7"/>
        <v/>
      </c>
      <c r="AR18" s="172"/>
      <c r="AT18" t="s">
        <v>2555</v>
      </c>
      <c r="AU18" s="169">
        <v>27000</v>
      </c>
      <c r="AV18" s="169">
        <v>18000</v>
      </c>
      <c r="AW18">
        <f t="shared" si="0"/>
        <v>648000</v>
      </c>
      <c r="AX18">
        <f t="shared" si="1"/>
        <v>432000</v>
      </c>
      <c r="AZ18" t="str">
        <f>IF(_xlfn.XLOOKUP($AK18,価格表__卸価格[品番],価格表__卸価格[代替],"")=0,"",_xlfn.XLOOKUP($AK18,価格表__卸価格[品番],価格表__卸価格[代替],""))</f>
        <v>代替品</v>
      </c>
    </row>
    <row r="19" spans="1:52" ht="24.75" customHeight="1">
      <c r="A19" s="172">
        <f t="shared" si="5"/>
        <v>15</v>
      </c>
      <c r="B19" s="224" t="s">
        <v>2459</v>
      </c>
      <c r="C19" s="224" t="s">
        <v>2507</v>
      </c>
      <c r="D19" s="224" t="s">
        <v>2508</v>
      </c>
      <c r="E19" s="224" t="s">
        <v>2177</v>
      </c>
      <c r="F19" s="224" t="s">
        <v>2422</v>
      </c>
      <c r="G19" s="172" t="s">
        <v>2460</v>
      </c>
      <c r="H19" s="224" t="s">
        <v>2502</v>
      </c>
      <c r="I19" s="224" t="s">
        <v>2185</v>
      </c>
      <c r="J19" s="172" t="s">
        <v>2461</v>
      </c>
      <c r="K19" s="172" t="s">
        <v>2462</v>
      </c>
      <c r="L19" s="172" t="s">
        <v>2463</v>
      </c>
      <c r="M19" s="172" t="s">
        <v>2503</v>
      </c>
      <c r="N19" s="172"/>
      <c r="O19" s="172" t="s">
        <v>2464</v>
      </c>
      <c r="P19" s="224" t="s">
        <v>2504</v>
      </c>
      <c r="Q19" s="172" t="s">
        <v>2465</v>
      </c>
      <c r="R19" s="172" t="s">
        <v>2466</v>
      </c>
      <c r="S19" s="224" t="s">
        <v>2505</v>
      </c>
      <c r="T19" s="172"/>
      <c r="U19" s="172" t="s">
        <v>2460</v>
      </c>
      <c r="V19" s="172" t="s">
        <v>2502</v>
      </c>
      <c r="W19" s="172" t="s">
        <v>2467</v>
      </c>
      <c r="X19" s="172" t="s">
        <v>2463</v>
      </c>
      <c r="Y19" s="224" t="s">
        <v>2503</v>
      </c>
      <c r="Z19" s="172"/>
      <c r="AA19" s="224">
        <v>5</v>
      </c>
      <c r="AB19" s="224" t="s">
        <v>2178</v>
      </c>
      <c r="AC19" s="224"/>
      <c r="AD19" s="224">
        <v>1</v>
      </c>
      <c r="AE19" s="172">
        <v>27000</v>
      </c>
      <c r="AF19" s="172">
        <f t="shared" si="6"/>
        <v>27000</v>
      </c>
      <c r="AG19" s="237">
        <v>45748</v>
      </c>
      <c r="AH19" s="238">
        <v>45748</v>
      </c>
      <c r="AI19" s="172" t="s">
        <v>2184</v>
      </c>
      <c r="AJ19" s="238">
        <v>47573</v>
      </c>
      <c r="AK19" s="172" t="s">
        <v>1542</v>
      </c>
      <c r="AL19" s="172" t="s">
        <v>2481</v>
      </c>
      <c r="AM19" s="172"/>
      <c r="AN19" s="172"/>
      <c r="AO19" s="239">
        <v>45768</v>
      </c>
      <c r="AP19" s="172" t="s">
        <v>2509</v>
      </c>
      <c r="AQ19" s="172" t="str">
        <f t="shared" si="7"/>
        <v/>
      </c>
      <c r="AR19" s="172"/>
      <c r="AT19" t="s">
        <v>2555</v>
      </c>
      <c r="AU19" s="169">
        <v>27000</v>
      </c>
      <c r="AV19" s="169">
        <v>18000</v>
      </c>
      <c r="AW19">
        <f t="shared" si="0"/>
        <v>648000</v>
      </c>
      <c r="AX19">
        <f t="shared" si="1"/>
        <v>432000</v>
      </c>
      <c r="AZ19" t="str">
        <f>IF(_xlfn.XLOOKUP($AK19,価格表__卸価格[品番],価格表__卸価格[代替],"")=0,"",_xlfn.XLOOKUP($AK19,価格表__卸価格[品番],価格表__卸価格[代替],""))</f>
        <v>代替品</v>
      </c>
    </row>
    <row r="20" spans="1:52" ht="24.75" customHeight="1">
      <c r="A20" s="172">
        <f t="shared" si="5"/>
        <v>16</v>
      </c>
      <c r="B20" s="224" t="s">
        <v>2459</v>
      </c>
      <c r="C20" s="224" t="s">
        <v>2507</v>
      </c>
      <c r="D20" s="224" t="s">
        <v>2508</v>
      </c>
      <c r="E20" s="224" t="s">
        <v>2177</v>
      </c>
      <c r="F20" s="224" t="s">
        <v>2422</v>
      </c>
      <c r="G20" s="172" t="s">
        <v>2460</v>
      </c>
      <c r="H20" s="224" t="s">
        <v>2502</v>
      </c>
      <c r="I20" s="224" t="s">
        <v>2185</v>
      </c>
      <c r="J20" s="172" t="s">
        <v>2461</v>
      </c>
      <c r="K20" s="172" t="s">
        <v>2462</v>
      </c>
      <c r="L20" s="172" t="s">
        <v>2463</v>
      </c>
      <c r="M20" s="172" t="s">
        <v>2503</v>
      </c>
      <c r="N20" s="172"/>
      <c r="O20" s="172" t="s">
        <v>2464</v>
      </c>
      <c r="P20" s="224" t="s">
        <v>2504</v>
      </c>
      <c r="Q20" s="172" t="s">
        <v>2465</v>
      </c>
      <c r="R20" s="172" t="s">
        <v>2466</v>
      </c>
      <c r="S20" s="224" t="s">
        <v>2505</v>
      </c>
      <c r="T20" s="172"/>
      <c r="U20" s="172" t="s">
        <v>2460</v>
      </c>
      <c r="V20" s="172" t="s">
        <v>2502</v>
      </c>
      <c r="W20" s="172" t="s">
        <v>2467</v>
      </c>
      <c r="X20" s="172" t="s">
        <v>2463</v>
      </c>
      <c r="Y20" s="224" t="s">
        <v>2503</v>
      </c>
      <c r="Z20" s="172"/>
      <c r="AA20" s="224">
        <v>5</v>
      </c>
      <c r="AB20" s="224" t="s">
        <v>2178</v>
      </c>
      <c r="AC20" s="224"/>
      <c r="AD20" s="224">
        <v>1</v>
      </c>
      <c r="AE20" s="172">
        <v>27000</v>
      </c>
      <c r="AF20" s="172">
        <f t="shared" si="6"/>
        <v>27000</v>
      </c>
      <c r="AG20" s="237">
        <v>45748</v>
      </c>
      <c r="AH20" s="238">
        <v>45748</v>
      </c>
      <c r="AI20" s="172" t="s">
        <v>2184</v>
      </c>
      <c r="AJ20" s="238">
        <v>47573</v>
      </c>
      <c r="AK20" s="172" t="s">
        <v>1542</v>
      </c>
      <c r="AL20" s="172" t="s">
        <v>2482</v>
      </c>
      <c r="AM20" s="172"/>
      <c r="AN20" s="172"/>
      <c r="AO20" s="239">
        <v>45768</v>
      </c>
      <c r="AP20" s="172" t="s">
        <v>2509</v>
      </c>
      <c r="AQ20" s="172" t="str">
        <f t="shared" si="7"/>
        <v/>
      </c>
      <c r="AR20" s="172"/>
      <c r="AT20" t="s">
        <v>2555</v>
      </c>
      <c r="AU20" s="169">
        <v>27000</v>
      </c>
      <c r="AV20" s="169">
        <v>18000</v>
      </c>
      <c r="AW20">
        <f t="shared" si="0"/>
        <v>648000</v>
      </c>
      <c r="AX20">
        <f t="shared" si="1"/>
        <v>432000</v>
      </c>
      <c r="AZ20" t="str">
        <f>IF(_xlfn.XLOOKUP($AK20,価格表__卸価格[品番],価格表__卸価格[代替],"")=0,"",_xlfn.XLOOKUP($AK20,価格表__卸価格[品番],価格表__卸価格[代替],""))</f>
        <v>代替品</v>
      </c>
    </row>
    <row r="21" spans="1:52" ht="24.75" customHeight="1">
      <c r="A21" s="172">
        <f t="shared" si="5"/>
        <v>17</v>
      </c>
      <c r="B21" s="224" t="s">
        <v>2459</v>
      </c>
      <c r="C21" s="224" t="s">
        <v>2507</v>
      </c>
      <c r="D21" s="224" t="s">
        <v>2508</v>
      </c>
      <c r="E21" s="224" t="s">
        <v>2177</v>
      </c>
      <c r="F21" s="224" t="s">
        <v>2422</v>
      </c>
      <c r="G21" s="172" t="s">
        <v>2460</v>
      </c>
      <c r="H21" s="224" t="s">
        <v>2502</v>
      </c>
      <c r="I21" s="224" t="s">
        <v>2185</v>
      </c>
      <c r="J21" s="172" t="s">
        <v>2461</v>
      </c>
      <c r="K21" s="172" t="s">
        <v>2462</v>
      </c>
      <c r="L21" s="172" t="s">
        <v>2463</v>
      </c>
      <c r="M21" s="172" t="s">
        <v>2503</v>
      </c>
      <c r="N21" s="172"/>
      <c r="O21" s="172" t="s">
        <v>2464</v>
      </c>
      <c r="P21" s="224" t="s">
        <v>2504</v>
      </c>
      <c r="Q21" s="172" t="s">
        <v>2465</v>
      </c>
      <c r="R21" s="172" t="s">
        <v>2466</v>
      </c>
      <c r="S21" s="224" t="s">
        <v>2505</v>
      </c>
      <c r="T21" s="172"/>
      <c r="U21" s="172" t="s">
        <v>2460</v>
      </c>
      <c r="V21" s="172" t="s">
        <v>2502</v>
      </c>
      <c r="W21" s="172" t="s">
        <v>2467</v>
      </c>
      <c r="X21" s="172" t="s">
        <v>2463</v>
      </c>
      <c r="Y21" s="224" t="s">
        <v>2503</v>
      </c>
      <c r="Z21" s="172"/>
      <c r="AA21" s="224">
        <v>5</v>
      </c>
      <c r="AB21" s="224" t="s">
        <v>2178</v>
      </c>
      <c r="AC21" s="224"/>
      <c r="AD21" s="224">
        <v>1</v>
      </c>
      <c r="AE21" s="172">
        <v>27000</v>
      </c>
      <c r="AF21" s="172">
        <f t="shared" si="6"/>
        <v>27000</v>
      </c>
      <c r="AG21" s="237">
        <v>45748</v>
      </c>
      <c r="AH21" s="238">
        <v>45748</v>
      </c>
      <c r="AI21" s="172" t="s">
        <v>2184</v>
      </c>
      <c r="AJ21" s="238">
        <v>47573</v>
      </c>
      <c r="AK21" s="172" t="s">
        <v>1542</v>
      </c>
      <c r="AL21" s="172" t="s">
        <v>2483</v>
      </c>
      <c r="AM21" s="172"/>
      <c r="AN21" s="172"/>
      <c r="AO21" s="239">
        <v>45768</v>
      </c>
      <c r="AP21" s="172" t="s">
        <v>2509</v>
      </c>
      <c r="AQ21" s="172" t="str">
        <f t="shared" si="7"/>
        <v/>
      </c>
      <c r="AR21" s="172"/>
      <c r="AT21" t="s">
        <v>2555</v>
      </c>
      <c r="AU21" s="169">
        <v>27000</v>
      </c>
      <c r="AV21" s="169">
        <v>18000</v>
      </c>
      <c r="AW21">
        <f t="shared" si="0"/>
        <v>648000</v>
      </c>
      <c r="AX21">
        <f t="shared" si="1"/>
        <v>432000</v>
      </c>
      <c r="AZ21" t="str">
        <f>IF(_xlfn.XLOOKUP($AK21,価格表__卸価格[品番],価格表__卸価格[代替],"")=0,"",_xlfn.XLOOKUP($AK21,価格表__卸価格[品番],価格表__卸価格[代替],""))</f>
        <v>代替品</v>
      </c>
    </row>
    <row r="22" spans="1:52" ht="24.75" customHeight="1">
      <c r="A22" s="172">
        <f t="shared" si="5"/>
        <v>18</v>
      </c>
      <c r="B22" s="224" t="s">
        <v>2459</v>
      </c>
      <c r="C22" s="224" t="s">
        <v>2507</v>
      </c>
      <c r="D22" s="224" t="s">
        <v>2508</v>
      </c>
      <c r="E22" s="224" t="s">
        <v>2177</v>
      </c>
      <c r="F22" s="224" t="s">
        <v>2422</v>
      </c>
      <c r="G22" s="172" t="s">
        <v>2460</v>
      </c>
      <c r="H22" s="224" t="s">
        <v>2502</v>
      </c>
      <c r="I22" s="224" t="s">
        <v>2185</v>
      </c>
      <c r="J22" s="172" t="s">
        <v>2461</v>
      </c>
      <c r="K22" s="172" t="s">
        <v>2462</v>
      </c>
      <c r="L22" s="172" t="s">
        <v>2463</v>
      </c>
      <c r="M22" s="172" t="s">
        <v>2503</v>
      </c>
      <c r="N22" s="172"/>
      <c r="O22" s="172" t="s">
        <v>2464</v>
      </c>
      <c r="P22" s="224" t="s">
        <v>2504</v>
      </c>
      <c r="Q22" s="172" t="s">
        <v>2465</v>
      </c>
      <c r="R22" s="172" t="s">
        <v>2466</v>
      </c>
      <c r="S22" s="224" t="s">
        <v>2505</v>
      </c>
      <c r="T22" s="172"/>
      <c r="U22" s="172" t="s">
        <v>2460</v>
      </c>
      <c r="V22" s="172" t="s">
        <v>2502</v>
      </c>
      <c r="W22" s="172" t="s">
        <v>2467</v>
      </c>
      <c r="X22" s="172" t="s">
        <v>2463</v>
      </c>
      <c r="Y22" s="224" t="s">
        <v>2503</v>
      </c>
      <c r="Z22" s="172"/>
      <c r="AA22" s="224">
        <v>5</v>
      </c>
      <c r="AB22" s="224" t="s">
        <v>2178</v>
      </c>
      <c r="AC22" s="224"/>
      <c r="AD22" s="224">
        <v>1</v>
      </c>
      <c r="AE22" s="172">
        <v>27000</v>
      </c>
      <c r="AF22" s="172">
        <f t="shared" si="6"/>
        <v>27000</v>
      </c>
      <c r="AG22" s="237">
        <v>45748</v>
      </c>
      <c r="AH22" s="238">
        <v>45748</v>
      </c>
      <c r="AI22" s="172" t="s">
        <v>2184</v>
      </c>
      <c r="AJ22" s="238">
        <v>47573</v>
      </c>
      <c r="AK22" s="172" t="s">
        <v>1542</v>
      </c>
      <c r="AL22" s="172" t="s">
        <v>2484</v>
      </c>
      <c r="AM22" s="172"/>
      <c r="AN22" s="172"/>
      <c r="AO22" s="239">
        <v>45768</v>
      </c>
      <c r="AP22" s="172" t="s">
        <v>2509</v>
      </c>
      <c r="AQ22" s="172" t="str">
        <f t="shared" si="7"/>
        <v/>
      </c>
      <c r="AR22" s="172"/>
      <c r="AT22" t="s">
        <v>2555</v>
      </c>
      <c r="AU22" s="169">
        <v>27000</v>
      </c>
      <c r="AV22" s="169">
        <v>18000</v>
      </c>
      <c r="AW22">
        <f t="shared" si="0"/>
        <v>648000</v>
      </c>
      <c r="AX22">
        <f t="shared" si="1"/>
        <v>432000</v>
      </c>
      <c r="AZ22" t="str">
        <f>IF(_xlfn.XLOOKUP($AK22,価格表__卸価格[品番],価格表__卸価格[代替],"")=0,"",_xlfn.XLOOKUP($AK22,価格表__卸価格[品番],価格表__卸価格[代替],""))</f>
        <v>代替品</v>
      </c>
    </row>
    <row r="23" spans="1:52" ht="24.75" customHeight="1">
      <c r="A23" s="172">
        <f t="shared" si="5"/>
        <v>19</v>
      </c>
      <c r="B23" s="224" t="s">
        <v>2459</v>
      </c>
      <c r="C23" s="224" t="s">
        <v>2507</v>
      </c>
      <c r="D23" s="224" t="s">
        <v>2508</v>
      </c>
      <c r="E23" s="224" t="s">
        <v>2177</v>
      </c>
      <c r="F23" s="224" t="s">
        <v>2422</v>
      </c>
      <c r="G23" s="172" t="s">
        <v>2460</v>
      </c>
      <c r="H23" s="224" t="s">
        <v>2502</v>
      </c>
      <c r="I23" s="224" t="s">
        <v>2185</v>
      </c>
      <c r="J23" s="172" t="s">
        <v>2461</v>
      </c>
      <c r="K23" s="172" t="s">
        <v>2462</v>
      </c>
      <c r="L23" s="172" t="s">
        <v>2463</v>
      </c>
      <c r="M23" s="172" t="s">
        <v>2503</v>
      </c>
      <c r="N23" s="172"/>
      <c r="O23" s="172" t="s">
        <v>2464</v>
      </c>
      <c r="P23" s="224" t="s">
        <v>2504</v>
      </c>
      <c r="Q23" s="172" t="s">
        <v>2465</v>
      </c>
      <c r="R23" s="172" t="s">
        <v>2466</v>
      </c>
      <c r="S23" s="224" t="s">
        <v>2505</v>
      </c>
      <c r="T23" s="172"/>
      <c r="U23" s="172" t="s">
        <v>2460</v>
      </c>
      <c r="V23" s="172" t="s">
        <v>2502</v>
      </c>
      <c r="W23" s="172" t="s">
        <v>2467</v>
      </c>
      <c r="X23" s="172" t="s">
        <v>2463</v>
      </c>
      <c r="Y23" s="224" t="s">
        <v>2503</v>
      </c>
      <c r="Z23" s="172"/>
      <c r="AA23" s="224">
        <v>5</v>
      </c>
      <c r="AB23" s="224" t="s">
        <v>2178</v>
      </c>
      <c r="AC23" s="224"/>
      <c r="AD23" s="224">
        <v>1</v>
      </c>
      <c r="AE23" s="172">
        <v>27000</v>
      </c>
      <c r="AF23" s="172">
        <f t="shared" si="6"/>
        <v>27000</v>
      </c>
      <c r="AG23" s="237">
        <v>45748</v>
      </c>
      <c r="AH23" s="238">
        <v>45748</v>
      </c>
      <c r="AI23" s="172" t="s">
        <v>2184</v>
      </c>
      <c r="AJ23" s="238">
        <v>47573</v>
      </c>
      <c r="AK23" s="172" t="s">
        <v>1542</v>
      </c>
      <c r="AL23" s="172" t="s">
        <v>2485</v>
      </c>
      <c r="AM23" s="172"/>
      <c r="AN23" s="172"/>
      <c r="AO23" s="239">
        <v>45768</v>
      </c>
      <c r="AP23" s="172" t="s">
        <v>2509</v>
      </c>
      <c r="AQ23" s="172" t="str">
        <f t="shared" si="7"/>
        <v/>
      </c>
      <c r="AR23" s="172"/>
      <c r="AT23" t="s">
        <v>2555</v>
      </c>
      <c r="AU23" s="169">
        <v>27000</v>
      </c>
      <c r="AV23" s="169">
        <v>18000</v>
      </c>
      <c r="AW23">
        <f t="shared" si="0"/>
        <v>648000</v>
      </c>
      <c r="AX23">
        <f t="shared" si="1"/>
        <v>432000</v>
      </c>
      <c r="AZ23" t="str">
        <f>IF(_xlfn.XLOOKUP($AK23,価格表__卸価格[品番],価格表__卸価格[代替],"")=0,"",_xlfn.XLOOKUP($AK23,価格表__卸価格[品番],価格表__卸価格[代替],""))</f>
        <v>代替品</v>
      </c>
    </row>
    <row r="24" spans="1:52" ht="24.75" customHeight="1">
      <c r="A24" s="172">
        <f t="shared" si="5"/>
        <v>20</v>
      </c>
      <c r="B24" s="224" t="s">
        <v>2459</v>
      </c>
      <c r="C24" s="224" t="s">
        <v>2507</v>
      </c>
      <c r="D24" s="224" t="s">
        <v>2508</v>
      </c>
      <c r="E24" s="224" t="s">
        <v>2177</v>
      </c>
      <c r="F24" s="224" t="s">
        <v>2422</v>
      </c>
      <c r="G24" s="172" t="s">
        <v>2460</v>
      </c>
      <c r="H24" s="224" t="s">
        <v>2502</v>
      </c>
      <c r="I24" s="224" t="s">
        <v>2185</v>
      </c>
      <c r="J24" s="172" t="s">
        <v>2461</v>
      </c>
      <c r="K24" s="172" t="s">
        <v>2462</v>
      </c>
      <c r="L24" s="172" t="s">
        <v>2463</v>
      </c>
      <c r="M24" s="172" t="s">
        <v>2503</v>
      </c>
      <c r="N24" s="172"/>
      <c r="O24" s="172" t="s">
        <v>2464</v>
      </c>
      <c r="P24" s="224" t="s">
        <v>2504</v>
      </c>
      <c r="Q24" s="172" t="s">
        <v>2465</v>
      </c>
      <c r="R24" s="172" t="s">
        <v>2466</v>
      </c>
      <c r="S24" s="224" t="s">
        <v>2505</v>
      </c>
      <c r="T24" s="172"/>
      <c r="U24" s="172" t="s">
        <v>2460</v>
      </c>
      <c r="V24" s="172" t="s">
        <v>2502</v>
      </c>
      <c r="W24" s="172" t="s">
        <v>2467</v>
      </c>
      <c r="X24" s="172" t="s">
        <v>2463</v>
      </c>
      <c r="Y24" s="224" t="s">
        <v>2503</v>
      </c>
      <c r="Z24" s="172"/>
      <c r="AA24" s="224">
        <v>5</v>
      </c>
      <c r="AB24" s="224" t="s">
        <v>2178</v>
      </c>
      <c r="AC24" s="224"/>
      <c r="AD24" s="224">
        <v>1</v>
      </c>
      <c r="AE24" s="172">
        <v>27000</v>
      </c>
      <c r="AF24" s="172">
        <f t="shared" si="6"/>
        <v>27000</v>
      </c>
      <c r="AG24" s="237">
        <v>45748</v>
      </c>
      <c r="AH24" s="238">
        <v>45748</v>
      </c>
      <c r="AI24" s="172" t="s">
        <v>2184</v>
      </c>
      <c r="AJ24" s="238">
        <v>47573</v>
      </c>
      <c r="AK24" s="172" t="s">
        <v>1542</v>
      </c>
      <c r="AL24" s="172" t="s">
        <v>2486</v>
      </c>
      <c r="AM24" s="172"/>
      <c r="AN24" s="172"/>
      <c r="AO24" s="239">
        <v>45768</v>
      </c>
      <c r="AP24" s="172" t="s">
        <v>2509</v>
      </c>
      <c r="AQ24" s="172" t="str">
        <f t="shared" si="7"/>
        <v/>
      </c>
      <c r="AR24" s="172"/>
      <c r="AT24" t="s">
        <v>2555</v>
      </c>
      <c r="AU24" s="169">
        <v>27000</v>
      </c>
      <c r="AV24" s="169">
        <v>18000</v>
      </c>
      <c r="AW24">
        <f t="shared" si="0"/>
        <v>648000</v>
      </c>
      <c r="AX24">
        <f t="shared" si="1"/>
        <v>432000</v>
      </c>
      <c r="AZ24" t="str">
        <f>IF(_xlfn.XLOOKUP($AK24,価格表__卸価格[品番],価格表__卸価格[代替],"")=0,"",_xlfn.XLOOKUP($AK24,価格表__卸価格[品番],価格表__卸価格[代替],""))</f>
        <v>代替品</v>
      </c>
    </row>
    <row r="25" spans="1:52" ht="24.75" customHeight="1">
      <c r="A25" s="172">
        <f t="shared" si="5"/>
        <v>21</v>
      </c>
      <c r="B25" s="224" t="s">
        <v>2459</v>
      </c>
      <c r="C25" s="224" t="s">
        <v>2507</v>
      </c>
      <c r="D25" s="224" t="s">
        <v>2508</v>
      </c>
      <c r="E25" s="224" t="s">
        <v>2177</v>
      </c>
      <c r="F25" s="224" t="s">
        <v>2422</v>
      </c>
      <c r="G25" s="172" t="s">
        <v>2460</v>
      </c>
      <c r="H25" s="224" t="s">
        <v>2502</v>
      </c>
      <c r="I25" s="224" t="s">
        <v>2185</v>
      </c>
      <c r="J25" s="172" t="s">
        <v>2461</v>
      </c>
      <c r="K25" s="172" t="s">
        <v>2462</v>
      </c>
      <c r="L25" s="172" t="s">
        <v>2463</v>
      </c>
      <c r="M25" s="172" t="s">
        <v>2503</v>
      </c>
      <c r="N25" s="172"/>
      <c r="O25" s="172" t="s">
        <v>2464</v>
      </c>
      <c r="P25" s="224" t="s">
        <v>2504</v>
      </c>
      <c r="Q25" s="172" t="s">
        <v>2465</v>
      </c>
      <c r="R25" s="172" t="s">
        <v>2466</v>
      </c>
      <c r="S25" s="224" t="s">
        <v>2505</v>
      </c>
      <c r="T25" s="172"/>
      <c r="U25" s="172" t="s">
        <v>2460</v>
      </c>
      <c r="V25" s="172" t="s">
        <v>2502</v>
      </c>
      <c r="W25" s="172" t="s">
        <v>2467</v>
      </c>
      <c r="X25" s="172" t="s">
        <v>2463</v>
      </c>
      <c r="Y25" s="224" t="s">
        <v>2503</v>
      </c>
      <c r="Z25" s="172"/>
      <c r="AA25" s="224">
        <v>5</v>
      </c>
      <c r="AB25" s="224" t="s">
        <v>2178</v>
      </c>
      <c r="AC25" s="224"/>
      <c r="AD25" s="224">
        <v>1</v>
      </c>
      <c r="AE25" s="172">
        <v>27000</v>
      </c>
      <c r="AF25" s="172">
        <f t="shared" si="6"/>
        <v>27000</v>
      </c>
      <c r="AG25" s="237">
        <v>45748</v>
      </c>
      <c r="AH25" s="238">
        <v>45748</v>
      </c>
      <c r="AI25" s="172" t="s">
        <v>2184</v>
      </c>
      <c r="AJ25" s="238">
        <v>47573</v>
      </c>
      <c r="AK25" s="172" t="s">
        <v>1542</v>
      </c>
      <c r="AL25" s="172" t="s">
        <v>2487</v>
      </c>
      <c r="AM25" s="172"/>
      <c r="AN25" s="172"/>
      <c r="AO25" s="239">
        <v>45768</v>
      </c>
      <c r="AP25" s="172" t="s">
        <v>2509</v>
      </c>
      <c r="AQ25" s="172" t="str">
        <f t="shared" si="7"/>
        <v/>
      </c>
      <c r="AR25" s="172"/>
      <c r="AT25" t="s">
        <v>2555</v>
      </c>
      <c r="AU25" s="169">
        <v>27000</v>
      </c>
      <c r="AV25" s="169">
        <v>18000</v>
      </c>
      <c r="AW25">
        <f t="shared" si="0"/>
        <v>648000</v>
      </c>
      <c r="AX25">
        <f t="shared" si="1"/>
        <v>432000</v>
      </c>
      <c r="AZ25" t="str">
        <f>IF(_xlfn.XLOOKUP($AK25,価格表__卸価格[品番],価格表__卸価格[代替],"")=0,"",_xlfn.XLOOKUP($AK25,価格表__卸価格[品番],価格表__卸価格[代替],""))</f>
        <v>代替品</v>
      </c>
    </row>
    <row r="26" spans="1:52" ht="24.75" customHeight="1">
      <c r="A26" s="172">
        <f t="shared" si="5"/>
        <v>22</v>
      </c>
      <c r="B26" s="224" t="s">
        <v>2459</v>
      </c>
      <c r="C26" s="224" t="s">
        <v>2507</v>
      </c>
      <c r="D26" s="224" t="s">
        <v>2508</v>
      </c>
      <c r="E26" s="224" t="s">
        <v>2177</v>
      </c>
      <c r="F26" s="224" t="s">
        <v>2422</v>
      </c>
      <c r="G26" s="172" t="s">
        <v>2460</v>
      </c>
      <c r="H26" s="224" t="s">
        <v>2502</v>
      </c>
      <c r="I26" s="224" t="s">
        <v>2185</v>
      </c>
      <c r="J26" s="172" t="s">
        <v>2461</v>
      </c>
      <c r="K26" s="172" t="s">
        <v>2462</v>
      </c>
      <c r="L26" s="172" t="s">
        <v>2463</v>
      </c>
      <c r="M26" s="172" t="s">
        <v>2503</v>
      </c>
      <c r="N26" s="172"/>
      <c r="O26" s="172" t="s">
        <v>2464</v>
      </c>
      <c r="P26" s="224" t="s">
        <v>2504</v>
      </c>
      <c r="Q26" s="172" t="s">
        <v>2465</v>
      </c>
      <c r="R26" s="172" t="s">
        <v>2466</v>
      </c>
      <c r="S26" s="224" t="s">
        <v>2505</v>
      </c>
      <c r="T26" s="172"/>
      <c r="U26" s="172" t="s">
        <v>2460</v>
      </c>
      <c r="V26" s="172" t="s">
        <v>2502</v>
      </c>
      <c r="W26" s="172" t="s">
        <v>2467</v>
      </c>
      <c r="X26" s="172" t="s">
        <v>2463</v>
      </c>
      <c r="Y26" s="224" t="s">
        <v>2503</v>
      </c>
      <c r="Z26" s="172"/>
      <c r="AA26" s="224">
        <v>5</v>
      </c>
      <c r="AB26" s="224" t="s">
        <v>2178</v>
      </c>
      <c r="AC26" s="224"/>
      <c r="AD26" s="224">
        <v>1</v>
      </c>
      <c r="AE26" s="172">
        <v>27000</v>
      </c>
      <c r="AF26" s="172">
        <f t="shared" si="6"/>
        <v>27000</v>
      </c>
      <c r="AG26" s="237">
        <v>45748</v>
      </c>
      <c r="AH26" s="238">
        <v>45748</v>
      </c>
      <c r="AI26" s="172" t="s">
        <v>2184</v>
      </c>
      <c r="AJ26" s="238">
        <v>47573</v>
      </c>
      <c r="AK26" s="172" t="s">
        <v>1542</v>
      </c>
      <c r="AL26" s="172" t="s">
        <v>2488</v>
      </c>
      <c r="AM26" s="172"/>
      <c r="AN26" s="172"/>
      <c r="AO26" s="239">
        <v>45768</v>
      </c>
      <c r="AP26" s="172" t="s">
        <v>2509</v>
      </c>
      <c r="AQ26" s="172" t="str">
        <f t="shared" si="7"/>
        <v/>
      </c>
      <c r="AR26" s="172"/>
      <c r="AT26" t="s">
        <v>2555</v>
      </c>
      <c r="AU26" s="169">
        <v>27000</v>
      </c>
      <c r="AV26" s="169">
        <v>18000</v>
      </c>
      <c r="AW26">
        <f t="shared" si="0"/>
        <v>648000</v>
      </c>
      <c r="AX26">
        <f t="shared" si="1"/>
        <v>432000</v>
      </c>
      <c r="AZ26" t="str">
        <f>IF(_xlfn.XLOOKUP($AK26,価格表__卸価格[品番],価格表__卸価格[代替],"")=0,"",_xlfn.XLOOKUP($AK26,価格表__卸価格[品番],価格表__卸価格[代替],""))</f>
        <v>代替品</v>
      </c>
    </row>
    <row r="27" spans="1:52" ht="24.75" customHeight="1">
      <c r="A27" s="172">
        <f t="shared" si="5"/>
        <v>23</v>
      </c>
      <c r="B27" s="224" t="s">
        <v>2459</v>
      </c>
      <c r="C27" s="224" t="s">
        <v>2507</v>
      </c>
      <c r="D27" s="224" t="s">
        <v>2508</v>
      </c>
      <c r="E27" s="224" t="s">
        <v>2177</v>
      </c>
      <c r="F27" s="224" t="s">
        <v>2422</v>
      </c>
      <c r="G27" s="172" t="s">
        <v>2460</v>
      </c>
      <c r="H27" s="224" t="s">
        <v>2502</v>
      </c>
      <c r="I27" s="224" t="s">
        <v>2185</v>
      </c>
      <c r="J27" s="172" t="s">
        <v>2461</v>
      </c>
      <c r="K27" s="172" t="s">
        <v>2462</v>
      </c>
      <c r="L27" s="172" t="s">
        <v>2463</v>
      </c>
      <c r="M27" s="172" t="s">
        <v>2503</v>
      </c>
      <c r="N27" s="172"/>
      <c r="O27" s="172" t="s">
        <v>2464</v>
      </c>
      <c r="P27" s="224" t="s">
        <v>2504</v>
      </c>
      <c r="Q27" s="172" t="s">
        <v>2465</v>
      </c>
      <c r="R27" s="172" t="s">
        <v>2466</v>
      </c>
      <c r="S27" s="224" t="s">
        <v>2505</v>
      </c>
      <c r="T27" s="172"/>
      <c r="U27" s="172" t="s">
        <v>2460</v>
      </c>
      <c r="V27" s="172" t="s">
        <v>2502</v>
      </c>
      <c r="W27" s="172" t="s">
        <v>2467</v>
      </c>
      <c r="X27" s="172" t="s">
        <v>2463</v>
      </c>
      <c r="Y27" s="224" t="s">
        <v>2503</v>
      </c>
      <c r="Z27" s="172"/>
      <c r="AA27" s="224">
        <v>5</v>
      </c>
      <c r="AB27" s="224" t="s">
        <v>2178</v>
      </c>
      <c r="AC27" s="224"/>
      <c r="AD27" s="224">
        <v>1</v>
      </c>
      <c r="AE27" s="172">
        <v>27000</v>
      </c>
      <c r="AF27" s="172">
        <f t="shared" si="6"/>
        <v>27000</v>
      </c>
      <c r="AG27" s="237">
        <v>45748</v>
      </c>
      <c r="AH27" s="238">
        <v>45748</v>
      </c>
      <c r="AI27" s="172" t="s">
        <v>2184</v>
      </c>
      <c r="AJ27" s="238">
        <v>47573</v>
      </c>
      <c r="AK27" s="172" t="s">
        <v>1542</v>
      </c>
      <c r="AL27" s="172" t="s">
        <v>2489</v>
      </c>
      <c r="AM27" s="172"/>
      <c r="AN27" s="172"/>
      <c r="AO27" s="239">
        <v>45768</v>
      </c>
      <c r="AP27" s="172" t="s">
        <v>2509</v>
      </c>
      <c r="AQ27" s="172" t="str">
        <f t="shared" si="7"/>
        <v/>
      </c>
      <c r="AR27" s="172"/>
      <c r="AT27" t="s">
        <v>2555</v>
      </c>
      <c r="AU27" s="169">
        <v>27000</v>
      </c>
      <c r="AV27" s="169">
        <v>18000</v>
      </c>
      <c r="AW27">
        <f t="shared" si="0"/>
        <v>648000</v>
      </c>
      <c r="AX27">
        <f t="shared" si="1"/>
        <v>432000</v>
      </c>
      <c r="AZ27" t="str">
        <f>IF(_xlfn.XLOOKUP($AK27,価格表__卸価格[品番],価格表__卸価格[代替],"")=0,"",_xlfn.XLOOKUP($AK27,価格表__卸価格[品番],価格表__卸価格[代替],""))</f>
        <v>代替品</v>
      </c>
    </row>
    <row r="28" spans="1:52" ht="24.75" customHeight="1">
      <c r="A28" s="172">
        <f t="shared" si="5"/>
        <v>24</v>
      </c>
      <c r="B28" s="224" t="s">
        <v>2459</v>
      </c>
      <c r="C28" s="224" t="s">
        <v>2507</v>
      </c>
      <c r="D28" s="224" t="s">
        <v>2508</v>
      </c>
      <c r="E28" s="224" t="s">
        <v>2177</v>
      </c>
      <c r="F28" s="224" t="s">
        <v>2422</v>
      </c>
      <c r="G28" s="172" t="s">
        <v>2460</v>
      </c>
      <c r="H28" s="224" t="s">
        <v>2502</v>
      </c>
      <c r="I28" s="224" t="s">
        <v>2185</v>
      </c>
      <c r="J28" s="172" t="s">
        <v>2461</v>
      </c>
      <c r="K28" s="172" t="s">
        <v>2462</v>
      </c>
      <c r="L28" s="172" t="s">
        <v>2463</v>
      </c>
      <c r="M28" s="172" t="s">
        <v>2503</v>
      </c>
      <c r="N28" s="172"/>
      <c r="O28" s="172" t="s">
        <v>2464</v>
      </c>
      <c r="P28" s="224" t="s">
        <v>2504</v>
      </c>
      <c r="Q28" s="172" t="s">
        <v>2465</v>
      </c>
      <c r="R28" s="172" t="s">
        <v>2466</v>
      </c>
      <c r="S28" s="224" t="s">
        <v>2505</v>
      </c>
      <c r="T28" s="172"/>
      <c r="U28" s="172" t="s">
        <v>2460</v>
      </c>
      <c r="V28" s="172" t="s">
        <v>2502</v>
      </c>
      <c r="W28" s="172" t="s">
        <v>2467</v>
      </c>
      <c r="X28" s="172" t="s">
        <v>2463</v>
      </c>
      <c r="Y28" s="224" t="s">
        <v>2503</v>
      </c>
      <c r="Z28" s="172"/>
      <c r="AA28" s="224">
        <v>5</v>
      </c>
      <c r="AB28" s="224" t="s">
        <v>2178</v>
      </c>
      <c r="AC28" s="224"/>
      <c r="AD28" s="224">
        <v>1</v>
      </c>
      <c r="AE28" s="172">
        <v>27000</v>
      </c>
      <c r="AF28" s="172">
        <f t="shared" si="6"/>
        <v>27000</v>
      </c>
      <c r="AG28" s="237">
        <v>45748</v>
      </c>
      <c r="AH28" s="238">
        <v>45748</v>
      </c>
      <c r="AI28" s="172" t="s">
        <v>2184</v>
      </c>
      <c r="AJ28" s="238">
        <v>47573</v>
      </c>
      <c r="AK28" s="172" t="s">
        <v>1542</v>
      </c>
      <c r="AL28" s="172" t="s">
        <v>2490</v>
      </c>
      <c r="AM28" s="172"/>
      <c r="AN28" s="172"/>
      <c r="AO28" s="239">
        <v>45768</v>
      </c>
      <c r="AP28" s="172" t="s">
        <v>2509</v>
      </c>
      <c r="AQ28" s="172" t="str">
        <f t="shared" si="7"/>
        <v/>
      </c>
      <c r="AR28" s="172"/>
      <c r="AT28" t="s">
        <v>2555</v>
      </c>
      <c r="AU28" s="169">
        <v>27000</v>
      </c>
      <c r="AV28" s="169">
        <v>18000</v>
      </c>
      <c r="AW28">
        <f t="shared" si="0"/>
        <v>648000</v>
      </c>
      <c r="AX28">
        <f t="shared" si="1"/>
        <v>432000</v>
      </c>
      <c r="AZ28" t="str">
        <f>IF(_xlfn.XLOOKUP($AK28,価格表__卸価格[品番],価格表__卸価格[代替],"")=0,"",_xlfn.XLOOKUP($AK28,価格表__卸価格[品番],価格表__卸価格[代替],""))</f>
        <v>代替品</v>
      </c>
    </row>
    <row r="29" spans="1:52" ht="24.75" customHeight="1">
      <c r="A29" s="172">
        <f t="shared" si="5"/>
        <v>25</v>
      </c>
      <c r="B29" s="224" t="s">
        <v>2459</v>
      </c>
      <c r="C29" s="224" t="s">
        <v>2507</v>
      </c>
      <c r="D29" s="224" t="s">
        <v>2508</v>
      </c>
      <c r="E29" s="224" t="s">
        <v>2177</v>
      </c>
      <c r="F29" s="224" t="s">
        <v>2422</v>
      </c>
      <c r="G29" s="172" t="s">
        <v>2460</v>
      </c>
      <c r="H29" s="224" t="s">
        <v>2502</v>
      </c>
      <c r="I29" s="224" t="s">
        <v>2185</v>
      </c>
      <c r="J29" s="172" t="s">
        <v>2461</v>
      </c>
      <c r="K29" s="172" t="s">
        <v>2462</v>
      </c>
      <c r="L29" s="172" t="s">
        <v>2463</v>
      </c>
      <c r="M29" s="172" t="s">
        <v>2503</v>
      </c>
      <c r="N29" s="172"/>
      <c r="O29" s="172" t="s">
        <v>2464</v>
      </c>
      <c r="P29" s="224" t="s">
        <v>2504</v>
      </c>
      <c r="Q29" s="172" t="s">
        <v>2465</v>
      </c>
      <c r="R29" s="172" t="s">
        <v>2466</v>
      </c>
      <c r="S29" s="224" t="s">
        <v>2505</v>
      </c>
      <c r="T29" s="172"/>
      <c r="U29" s="172" t="s">
        <v>2460</v>
      </c>
      <c r="V29" s="172" t="s">
        <v>2502</v>
      </c>
      <c r="W29" s="172" t="s">
        <v>2467</v>
      </c>
      <c r="X29" s="172" t="s">
        <v>2463</v>
      </c>
      <c r="Y29" s="224" t="s">
        <v>2503</v>
      </c>
      <c r="Z29" s="172"/>
      <c r="AA29" s="224">
        <v>5</v>
      </c>
      <c r="AB29" s="224" t="s">
        <v>2178</v>
      </c>
      <c r="AC29" s="224"/>
      <c r="AD29" s="224">
        <v>1</v>
      </c>
      <c r="AE29" s="172">
        <v>27000</v>
      </c>
      <c r="AF29" s="172">
        <f t="shared" si="6"/>
        <v>27000</v>
      </c>
      <c r="AG29" s="237">
        <v>45748</v>
      </c>
      <c r="AH29" s="238">
        <v>45748</v>
      </c>
      <c r="AI29" s="172" t="s">
        <v>2184</v>
      </c>
      <c r="AJ29" s="238">
        <v>47573</v>
      </c>
      <c r="AK29" s="172" t="s">
        <v>1542</v>
      </c>
      <c r="AL29" s="172" t="s">
        <v>2491</v>
      </c>
      <c r="AM29" s="172"/>
      <c r="AN29" s="172"/>
      <c r="AO29" s="239">
        <v>45768</v>
      </c>
      <c r="AP29" s="172" t="s">
        <v>2509</v>
      </c>
      <c r="AQ29" s="172" t="str">
        <f t="shared" si="7"/>
        <v/>
      </c>
      <c r="AR29" s="172"/>
      <c r="AT29" t="s">
        <v>2555</v>
      </c>
      <c r="AU29" s="169">
        <v>27000</v>
      </c>
      <c r="AV29" s="169">
        <v>18000</v>
      </c>
      <c r="AW29">
        <f t="shared" si="0"/>
        <v>648000</v>
      </c>
      <c r="AX29">
        <f t="shared" si="1"/>
        <v>432000</v>
      </c>
      <c r="AZ29" t="str">
        <f>IF(_xlfn.XLOOKUP($AK29,価格表__卸価格[品番],価格表__卸価格[代替],"")=0,"",_xlfn.XLOOKUP($AK29,価格表__卸価格[品番],価格表__卸価格[代替],""))</f>
        <v>代替品</v>
      </c>
    </row>
    <row r="30" spans="1:52" ht="24.75" customHeight="1">
      <c r="A30" s="172">
        <f t="shared" si="5"/>
        <v>26</v>
      </c>
      <c r="B30" s="224" t="s">
        <v>2459</v>
      </c>
      <c r="C30" s="224" t="s">
        <v>2507</v>
      </c>
      <c r="D30" s="224" t="s">
        <v>2508</v>
      </c>
      <c r="E30" s="224" t="s">
        <v>2177</v>
      </c>
      <c r="F30" s="224" t="s">
        <v>2422</v>
      </c>
      <c r="G30" s="172" t="s">
        <v>2460</v>
      </c>
      <c r="H30" s="224" t="s">
        <v>2502</v>
      </c>
      <c r="I30" s="224" t="s">
        <v>2185</v>
      </c>
      <c r="J30" s="172" t="s">
        <v>2461</v>
      </c>
      <c r="K30" s="172" t="s">
        <v>2462</v>
      </c>
      <c r="L30" s="172" t="s">
        <v>2463</v>
      </c>
      <c r="M30" s="172" t="s">
        <v>2503</v>
      </c>
      <c r="N30" s="172"/>
      <c r="O30" s="172" t="s">
        <v>2464</v>
      </c>
      <c r="P30" s="224" t="s">
        <v>2504</v>
      </c>
      <c r="Q30" s="172" t="s">
        <v>2465</v>
      </c>
      <c r="R30" s="172" t="s">
        <v>2466</v>
      </c>
      <c r="S30" s="224" t="s">
        <v>2505</v>
      </c>
      <c r="T30" s="172"/>
      <c r="U30" s="172" t="s">
        <v>2460</v>
      </c>
      <c r="V30" s="172" t="s">
        <v>2502</v>
      </c>
      <c r="W30" s="172" t="s">
        <v>2467</v>
      </c>
      <c r="X30" s="172" t="s">
        <v>2463</v>
      </c>
      <c r="Y30" s="224" t="s">
        <v>2503</v>
      </c>
      <c r="Z30" s="172"/>
      <c r="AA30" s="224">
        <v>5</v>
      </c>
      <c r="AB30" s="224" t="s">
        <v>2178</v>
      </c>
      <c r="AC30" s="224"/>
      <c r="AD30" s="224">
        <v>1</v>
      </c>
      <c r="AE30" s="172">
        <v>27000</v>
      </c>
      <c r="AF30" s="172">
        <f t="shared" si="6"/>
        <v>27000</v>
      </c>
      <c r="AG30" s="237">
        <v>45748</v>
      </c>
      <c r="AH30" s="238">
        <v>45748</v>
      </c>
      <c r="AI30" s="172" t="s">
        <v>2184</v>
      </c>
      <c r="AJ30" s="238">
        <v>47573</v>
      </c>
      <c r="AK30" s="172" t="s">
        <v>1542</v>
      </c>
      <c r="AL30" s="172" t="s">
        <v>2492</v>
      </c>
      <c r="AM30" s="172"/>
      <c r="AN30" s="172"/>
      <c r="AO30" s="239">
        <v>45768</v>
      </c>
      <c r="AP30" s="172" t="s">
        <v>2509</v>
      </c>
      <c r="AQ30" s="172" t="str">
        <f t="shared" si="7"/>
        <v/>
      </c>
      <c r="AR30" s="172"/>
      <c r="AT30" t="s">
        <v>2555</v>
      </c>
      <c r="AU30" s="169">
        <v>27000</v>
      </c>
      <c r="AV30" s="169">
        <v>18000</v>
      </c>
      <c r="AW30">
        <f t="shared" si="0"/>
        <v>648000</v>
      </c>
      <c r="AX30">
        <f t="shared" si="1"/>
        <v>432000</v>
      </c>
      <c r="AZ30" t="str">
        <f>IF(_xlfn.XLOOKUP($AK30,価格表__卸価格[品番],価格表__卸価格[代替],"")=0,"",_xlfn.XLOOKUP($AK30,価格表__卸価格[品番],価格表__卸価格[代替],""))</f>
        <v>代替品</v>
      </c>
    </row>
    <row r="31" spans="1:52" ht="24.75" customHeight="1">
      <c r="A31" s="172">
        <f t="shared" si="5"/>
        <v>27</v>
      </c>
      <c r="B31" s="224" t="s">
        <v>2459</v>
      </c>
      <c r="C31" s="224" t="s">
        <v>2507</v>
      </c>
      <c r="D31" s="224" t="s">
        <v>2508</v>
      </c>
      <c r="E31" s="224" t="s">
        <v>2177</v>
      </c>
      <c r="F31" s="224" t="s">
        <v>2422</v>
      </c>
      <c r="G31" s="172" t="s">
        <v>2460</v>
      </c>
      <c r="H31" s="224" t="s">
        <v>2502</v>
      </c>
      <c r="I31" s="224" t="s">
        <v>2185</v>
      </c>
      <c r="J31" s="172" t="s">
        <v>2461</v>
      </c>
      <c r="K31" s="172" t="s">
        <v>2462</v>
      </c>
      <c r="L31" s="172" t="s">
        <v>2463</v>
      </c>
      <c r="M31" s="172" t="s">
        <v>2503</v>
      </c>
      <c r="N31" s="172"/>
      <c r="O31" s="172" t="s">
        <v>2464</v>
      </c>
      <c r="P31" s="224" t="s">
        <v>2504</v>
      </c>
      <c r="Q31" s="172" t="s">
        <v>2465</v>
      </c>
      <c r="R31" s="172" t="s">
        <v>2466</v>
      </c>
      <c r="S31" s="224" t="s">
        <v>2505</v>
      </c>
      <c r="T31" s="172"/>
      <c r="U31" s="172" t="s">
        <v>2460</v>
      </c>
      <c r="V31" s="172" t="s">
        <v>2502</v>
      </c>
      <c r="W31" s="172" t="s">
        <v>2467</v>
      </c>
      <c r="X31" s="172" t="s">
        <v>2463</v>
      </c>
      <c r="Y31" s="224" t="s">
        <v>2503</v>
      </c>
      <c r="Z31" s="172"/>
      <c r="AA31" s="224">
        <v>5</v>
      </c>
      <c r="AB31" s="224" t="s">
        <v>2178</v>
      </c>
      <c r="AC31" s="224"/>
      <c r="AD31" s="224">
        <v>1</v>
      </c>
      <c r="AE31" s="172">
        <v>27000</v>
      </c>
      <c r="AF31" s="172">
        <f t="shared" si="6"/>
        <v>27000</v>
      </c>
      <c r="AG31" s="237">
        <v>45748</v>
      </c>
      <c r="AH31" s="238">
        <v>45748</v>
      </c>
      <c r="AI31" s="172" t="s">
        <v>2184</v>
      </c>
      <c r="AJ31" s="238">
        <v>47573</v>
      </c>
      <c r="AK31" s="172" t="s">
        <v>1542</v>
      </c>
      <c r="AL31" s="172" t="s">
        <v>2493</v>
      </c>
      <c r="AM31" s="172"/>
      <c r="AN31" s="172"/>
      <c r="AO31" s="239">
        <v>45768</v>
      </c>
      <c r="AP31" s="172" t="s">
        <v>2509</v>
      </c>
      <c r="AQ31" s="172" t="str">
        <f t="shared" si="7"/>
        <v/>
      </c>
      <c r="AR31" s="172"/>
      <c r="AT31" t="s">
        <v>2555</v>
      </c>
      <c r="AU31" s="169">
        <v>27000</v>
      </c>
      <c r="AV31" s="169">
        <v>18000</v>
      </c>
      <c r="AW31">
        <f t="shared" si="0"/>
        <v>648000</v>
      </c>
      <c r="AX31">
        <f t="shared" si="1"/>
        <v>432000</v>
      </c>
      <c r="AZ31" t="str">
        <f>IF(_xlfn.XLOOKUP($AK31,価格表__卸価格[品番],価格表__卸価格[代替],"")=0,"",_xlfn.XLOOKUP($AK31,価格表__卸価格[品番],価格表__卸価格[代替],""))</f>
        <v>代替品</v>
      </c>
    </row>
    <row r="32" spans="1:52" ht="24.75" customHeight="1">
      <c r="A32" s="172">
        <f t="shared" si="5"/>
        <v>28</v>
      </c>
      <c r="B32" s="224" t="s">
        <v>2459</v>
      </c>
      <c r="C32" s="224" t="s">
        <v>2507</v>
      </c>
      <c r="D32" s="224" t="s">
        <v>2508</v>
      </c>
      <c r="E32" s="224" t="s">
        <v>2177</v>
      </c>
      <c r="F32" s="224" t="s">
        <v>2422</v>
      </c>
      <c r="G32" s="172" t="s">
        <v>2460</v>
      </c>
      <c r="H32" s="224" t="s">
        <v>2502</v>
      </c>
      <c r="I32" s="224" t="s">
        <v>2185</v>
      </c>
      <c r="J32" s="172" t="s">
        <v>2461</v>
      </c>
      <c r="K32" s="172" t="s">
        <v>2462</v>
      </c>
      <c r="L32" s="172" t="s">
        <v>2463</v>
      </c>
      <c r="M32" s="172" t="s">
        <v>2503</v>
      </c>
      <c r="N32" s="172"/>
      <c r="O32" s="172" t="s">
        <v>2464</v>
      </c>
      <c r="P32" s="224" t="s">
        <v>2504</v>
      </c>
      <c r="Q32" s="172" t="s">
        <v>2465</v>
      </c>
      <c r="R32" s="172" t="s">
        <v>2466</v>
      </c>
      <c r="S32" s="224" t="s">
        <v>2505</v>
      </c>
      <c r="T32" s="172"/>
      <c r="U32" s="172" t="s">
        <v>2460</v>
      </c>
      <c r="V32" s="172" t="s">
        <v>2502</v>
      </c>
      <c r="W32" s="172" t="s">
        <v>2467</v>
      </c>
      <c r="X32" s="172" t="s">
        <v>2463</v>
      </c>
      <c r="Y32" s="224" t="s">
        <v>2503</v>
      </c>
      <c r="Z32" s="172"/>
      <c r="AA32" s="224">
        <v>5</v>
      </c>
      <c r="AB32" s="224" t="s">
        <v>2178</v>
      </c>
      <c r="AC32" s="224"/>
      <c r="AD32" s="224">
        <v>1</v>
      </c>
      <c r="AE32" s="172">
        <v>27000</v>
      </c>
      <c r="AF32" s="172">
        <f t="shared" si="6"/>
        <v>27000</v>
      </c>
      <c r="AG32" s="237">
        <v>45748</v>
      </c>
      <c r="AH32" s="238">
        <v>45748</v>
      </c>
      <c r="AI32" s="172" t="s">
        <v>2184</v>
      </c>
      <c r="AJ32" s="238">
        <v>47573</v>
      </c>
      <c r="AK32" s="172" t="s">
        <v>1542</v>
      </c>
      <c r="AL32" s="172" t="s">
        <v>2494</v>
      </c>
      <c r="AM32" s="172"/>
      <c r="AN32" s="172"/>
      <c r="AO32" s="239">
        <v>45768</v>
      </c>
      <c r="AP32" s="172" t="s">
        <v>2509</v>
      </c>
      <c r="AQ32" s="172" t="str">
        <f t="shared" si="7"/>
        <v/>
      </c>
      <c r="AR32" s="172"/>
      <c r="AT32" t="s">
        <v>2555</v>
      </c>
      <c r="AU32" s="169">
        <v>27000</v>
      </c>
      <c r="AV32" s="169">
        <v>18000</v>
      </c>
      <c r="AW32">
        <f t="shared" si="0"/>
        <v>648000</v>
      </c>
      <c r="AX32">
        <f t="shared" si="1"/>
        <v>432000</v>
      </c>
      <c r="AZ32" t="str">
        <f>IF(_xlfn.XLOOKUP($AK32,価格表__卸価格[品番],価格表__卸価格[代替],"")=0,"",_xlfn.XLOOKUP($AK32,価格表__卸価格[品番],価格表__卸価格[代替],""))</f>
        <v>代替品</v>
      </c>
    </row>
    <row r="33" spans="1:52" ht="24.75" customHeight="1">
      <c r="A33" s="172">
        <f t="shared" si="5"/>
        <v>29</v>
      </c>
      <c r="B33" s="224" t="s">
        <v>2459</v>
      </c>
      <c r="C33" s="224" t="s">
        <v>2507</v>
      </c>
      <c r="D33" s="224" t="s">
        <v>2508</v>
      </c>
      <c r="E33" s="224" t="s">
        <v>2177</v>
      </c>
      <c r="F33" s="224" t="s">
        <v>2422</v>
      </c>
      <c r="G33" s="172" t="s">
        <v>2460</v>
      </c>
      <c r="H33" s="224" t="s">
        <v>2502</v>
      </c>
      <c r="I33" s="224" t="s">
        <v>2185</v>
      </c>
      <c r="J33" s="172" t="s">
        <v>2461</v>
      </c>
      <c r="K33" s="172" t="s">
        <v>2462</v>
      </c>
      <c r="L33" s="172" t="s">
        <v>2463</v>
      </c>
      <c r="M33" s="172" t="s">
        <v>2503</v>
      </c>
      <c r="N33" s="172"/>
      <c r="O33" s="172" t="s">
        <v>2464</v>
      </c>
      <c r="P33" s="224" t="s">
        <v>2504</v>
      </c>
      <c r="Q33" s="172" t="s">
        <v>2465</v>
      </c>
      <c r="R33" s="172" t="s">
        <v>2466</v>
      </c>
      <c r="S33" s="224" t="s">
        <v>2505</v>
      </c>
      <c r="T33" s="172"/>
      <c r="U33" s="172" t="s">
        <v>2460</v>
      </c>
      <c r="V33" s="172" t="s">
        <v>2502</v>
      </c>
      <c r="W33" s="172" t="s">
        <v>2467</v>
      </c>
      <c r="X33" s="172" t="s">
        <v>2463</v>
      </c>
      <c r="Y33" s="224" t="s">
        <v>2503</v>
      </c>
      <c r="Z33" s="172"/>
      <c r="AA33" s="224">
        <v>5</v>
      </c>
      <c r="AB33" s="224" t="s">
        <v>2178</v>
      </c>
      <c r="AC33" s="224"/>
      <c r="AD33" s="224">
        <v>1</v>
      </c>
      <c r="AE33" s="172">
        <v>27000</v>
      </c>
      <c r="AF33" s="172">
        <f t="shared" si="6"/>
        <v>27000</v>
      </c>
      <c r="AG33" s="237">
        <v>45748</v>
      </c>
      <c r="AH33" s="238">
        <v>45748</v>
      </c>
      <c r="AI33" s="172" t="s">
        <v>2184</v>
      </c>
      <c r="AJ33" s="238">
        <v>47573</v>
      </c>
      <c r="AK33" s="172" t="s">
        <v>1542</v>
      </c>
      <c r="AL33" s="172" t="s">
        <v>2495</v>
      </c>
      <c r="AM33" s="172"/>
      <c r="AN33" s="172"/>
      <c r="AO33" s="239">
        <v>45768</v>
      </c>
      <c r="AP33" s="172" t="s">
        <v>2509</v>
      </c>
      <c r="AQ33" s="172" t="str">
        <f t="shared" si="7"/>
        <v/>
      </c>
      <c r="AR33" s="172"/>
      <c r="AT33" t="s">
        <v>2555</v>
      </c>
      <c r="AU33" s="169">
        <v>27000</v>
      </c>
      <c r="AV33" s="169">
        <v>18000</v>
      </c>
      <c r="AW33">
        <f t="shared" si="0"/>
        <v>648000</v>
      </c>
      <c r="AX33">
        <f t="shared" si="1"/>
        <v>432000</v>
      </c>
      <c r="AZ33" t="str">
        <f>IF(_xlfn.XLOOKUP($AK33,価格表__卸価格[品番],価格表__卸価格[代替],"")=0,"",_xlfn.XLOOKUP($AK33,価格表__卸価格[品番],価格表__卸価格[代替],""))</f>
        <v>代替品</v>
      </c>
    </row>
    <row r="34" spans="1:52" ht="24.75" customHeight="1">
      <c r="A34" s="172">
        <f t="shared" si="5"/>
        <v>30</v>
      </c>
      <c r="B34" s="224" t="s">
        <v>2459</v>
      </c>
      <c r="C34" s="224" t="s">
        <v>2507</v>
      </c>
      <c r="D34" s="224" t="s">
        <v>2508</v>
      </c>
      <c r="E34" s="224" t="s">
        <v>2177</v>
      </c>
      <c r="F34" s="224" t="s">
        <v>2422</v>
      </c>
      <c r="G34" s="172" t="s">
        <v>2460</v>
      </c>
      <c r="H34" s="224" t="s">
        <v>2502</v>
      </c>
      <c r="I34" s="224" t="s">
        <v>2185</v>
      </c>
      <c r="J34" s="172" t="s">
        <v>2461</v>
      </c>
      <c r="K34" s="172" t="s">
        <v>2462</v>
      </c>
      <c r="L34" s="172" t="s">
        <v>2463</v>
      </c>
      <c r="M34" s="172" t="s">
        <v>2503</v>
      </c>
      <c r="N34" s="172"/>
      <c r="O34" s="172" t="s">
        <v>2464</v>
      </c>
      <c r="P34" s="224" t="s">
        <v>2504</v>
      </c>
      <c r="Q34" s="172" t="s">
        <v>2465</v>
      </c>
      <c r="R34" s="172" t="s">
        <v>2466</v>
      </c>
      <c r="S34" s="224" t="s">
        <v>2505</v>
      </c>
      <c r="T34" s="172"/>
      <c r="U34" s="172" t="s">
        <v>2460</v>
      </c>
      <c r="V34" s="172" t="s">
        <v>2502</v>
      </c>
      <c r="W34" s="172" t="s">
        <v>2467</v>
      </c>
      <c r="X34" s="172" t="s">
        <v>2463</v>
      </c>
      <c r="Y34" s="224" t="s">
        <v>2503</v>
      </c>
      <c r="Z34" s="172"/>
      <c r="AA34" s="224">
        <v>5</v>
      </c>
      <c r="AB34" s="224" t="s">
        <v>2178</v>
      </c>
      <c r="AC34" s="224"/>
      <c r="AD34" s="224">
        <v>1</v>
      </c>
      <c r="AE34" s="172">
        <v>27000</v>
      </c>
      <c r="AF34" s="172">
        <f t="shared" si="6"/>
        <v>27000</v>
      </c>
      <c r="AG34" s="237">
        <v>45748</v>
      </c>
      <c r="AH34" s="238">
        <v>45748</v>
      </c>
      <c r="AI34" s="172" t="s">
        <v>2184</v>
      </c>
      <c r="AJ34" s="238">
        <v>47573</v>
      </c>
      <c r="AK34" s="172" t="s">
        <v>1542</v>
      </c>
      <c r="AL34" s="172" t="s">
        <v>2496</v>
      </c>
      <c r="AM34" s="172"/>
      <c r="AN34" s="172"/>
      <c r="AO34" s="239">
        <v>45768</v>
      </c>
      <c r="AP34" s="172" t="s">
        <v>2509</v>
      </c>
      <c r="AQ34" s="172" t="str">
        <f t="shared" si="7"/>
        <v/>
      </c>
      <c r="AR34" s="172"/>
      <c r="AT34" t="s">
        <v>2555</v>
      </c>
      <c r="AU34" s="169">
        <v>27000</v>
      </c>
      <c r="AV34" s="169">
        <v>18000</v>
      </c>
      <c r="AW34">
        <f t="shared" si="0"/>
        <v>648000</v>
      </c>
      <c r="AX34">
        <f t="shared" si="1"/>
        <v>432000</v>
      </c>
      <c r="AZ34" t="str">
        <f>IF(_xlfn.XLOOKUP($AK34,価格表__卸価格[品番],価格表__卸価格[代替],"")=0,"",_xlfn.XLOOKUP($AK34,価格表__卸価格[品番],価格表__卸価格[代替],""))</f>
        <v>代替品</v>
      </c>
    </row>
    <row r="35" spans="1:52" ht="24.75" customHeight="1">
      <c r="A35" s="172">
        <f t="shared" si="5"/>
        <v>31</v>
      </c>
      <c r="B35" s="224" t="s">
        <v>2459</v>
      </c>
      <c r="C35" s="224" t="s">
        <v>2507</v>
      </c>
      <c r="D35" s="224" t="s">
        <v>2508</v>
      </c>
      <c r="E35" s="224" t="s">
        <v>2177</v>
      </c>
      <c r="F35" s="224" t="s">
        <v>2422</v>
      </c>
      <c r="G35" s="172" t="s">
        <v>2460</v>
      </c>
      <c r="H35" s="224" t="s">
        <v>2502</v>
      </c>
      <c r="I35" s="224" t="s">
        <v>2185</v>
      </c>
      <c r="J35" s="172" t="s">
        <v>2461</v>
      </c>
      <c r="K35" s="172" t="s">
        <v>2462</v>
      </c>
      <c r="L35" s="172" t="s">
        <v>2463</v>
      </c>
      <c r="M35" s="172" t="s">
        <v>2503</v>
      </c>
      <c r="N35" s="172"/>
      <c r="O35" s="172" t="s">
        <v>2464</v>
      </c>
      <c r="P35" s="224" t="s">
        <v>2504</v>
      </c>
      <c r="Q35" s="172" t="s">
        <v>2465</v>
      </c>
      <c r="R35" s="172" t="s">
        <v>2466</v>
      </c>
      <c r="S35" s="224" t="s">
        <v>2505</v>
      </c>
      <c r="T35" s="172"/>
      <c r="U35" s="172" t="s">
        <v>2460</v>
      </c>
      <c r="V35" s="172" t="s">
        <v>2502</v>
      </c>
      <c r="W35" s="172" t="s">
        <v>2467</v>
      </c>
      <c r="X35" s="172" t="s">
        <v>2463</v>
      </c>
      <c r="Y35" s="224" t="s">
        <v>2503</v>
      </c>
      <c r="Z35" s="172"/>
      <c r="AA35" s="224">
        <v>5</v>
      </c>
      <c r="AB35" s="224" t="s">
        <v>2178</v>
      </c>
      <c r="AC35" s="224"/>
      <c r="AD35" s="224">
        <v>1</v>
      </c>
      <c r="AE35" s="172">
        <v>27000</v>
      </c>
      <c r="AF35" s="172">
        <f t="shared" si="6"/>
        <v>27000</v>
      </c>
      <c r="AG35" s="237">
        <v>45748</v>
      </c>
      <c r="AH35" s="238">
        <v>45748</v>
      </c>
      <c r="AI35" s="172" t="s">
        <v>2184</v>
      </c>
      <c r="AJ35" s="238">
        <v>47573</v>
      </c>
      <c r="AK35" s="172" t="s">
        <v>1542</v>
      </c>
      <c r="AL35" s="172" t="s">
        <v>2497</v>
      </c>
      <c r="AM35" s="172"/>
      <c r="AN35" s="172"/>
      <c r="AO35" s="239">
        <v>45768</v>
      </c>
      <c r="AP35" s="172" t="s">
        <v>2509</v>
      </c>
      <c r="AQ35" s="172" t="str">
        <f t="shared" si="7"/>
        <v/>
      </c>
      <c r="AR35" s="172"/>
      <c r="AT35" t="s">
        <v>2555</v>
      </c>
      <c r="AU35" s="169">
        <v>27000</v>
      </c>
      <c r="AV35" s="169">
        <v>18000</v>
      </c>
      <c r="AW35">
        <f t="shared" si="0"/>
        <v>648000</v>
      </c>
      <c r="AX35">
        <f t="shared" si="1"/>
        <v>432000</v>
      </c>
      <c r="AZ35" t="str">
        <f>IF(_xlfn.XLOOKUP($AK35,価格表__卸価格[品番],価格表__卸価格[代替],"")=0,"",_xlfn.XLOOKUP($AK35,価格表__卸価格[品番],価格表__卸価格[代替],""))</f>
        <v>代替品</v>
      </c>
    </row>
    <row r="36" spans="1:52" ht="24.75" customHeight="1">
      <c r="A36" s="172">
        <f t="shared" si="5"/>
        <v>32</v>
      </c>
      <c r="B36" s="224" t="s">
        <v>2459</v>
      </c>
      <c r="C36" s="224" t="s">
        <v>2507</v>
      </c>
      <c r="D36" s="224" t="s">
        <v>2508</v>
      </c>
      <c r="E36" s="224" t="s">
        <v>2177</v>
      </c>
      <c r="F36" s="224" t="s">
        <v>2422</v>
      </c>
      <c r="G36" s="172" t="s">
        <v>2460</v>
      </c>
      <c r="H36" s="224" t="s">
        <v>2502</v>
      </c>
      <c r="I36" s="224" t="s">
        <v>2185</v>
      </c>
      <c r="J36" s="172" t="s">
        <v>2461</v>
      </c>
      <c r="K36" s="172" t="s">
        <v>2462</v>
      </c>
      <c r="L36" s="172" t="s">
        <v>2463</v>
      </c>
      <c r="M36" s="172" t="s">
        <v>2503</v>
      </c>
      <c r="N36" s="172"/>
      <c r="O36" s="172" t="s">
        <v>2464</v>
      </c>
      <c r="P36" s="224" t="s">
        <v>2504</v>
      </c>
      <c r="Q36" s="172" t="s">
        <v>2465</v>
      </c>
      <c r="R36" s="172" t="s">
        <v>2466</v>
      </c>
      <c r="S36" s="224" t="s">
        <v>2505</v>
      </c>
      <c r="T36" s="172"/>
      <c r="U36" s="172" t="s">
        <v>2460</v>
      </c>
      <c r="V36" s="172" t="s">
        <v>2502</v>
      </c>
      <c r="W36" s="172" t="s">
        <v>2467</v>
      </c>
      <c r="X36" s="172" t="s">
        <v>2463</v>
      </c>
      <c r="Y36" s="224" t="s">
        <v>2503</v>
      </c>
      <c r="Z36" s="172"/>
      <c r="AA36" s="224">
        <v>5</v>
      </c>
      <c r="AB36" s="224" t="s">
        <v>2178</v>
      </c>
      <c r="AC36" s="224"/>
      <c r="AD36" s="224">
        <v>1</v>
      </c>
      <c r="AE36" s="172">
        <v>27000</v>
      </c>
      <c r="AF36" s="172">
        <f t="shared" si="6"/>
        <v>27000</v>
      </c>
      <c r="AG36" s="237">
        <v>45748</v>
      </c>
      <c r="AH36" s="238">
        <v>45748</v>
      </c>
      <c r="AI36" s="172" t="s">
        <v>2184</v>
      </c>
      <c r="AJ36" s="238">
        <v>47573</v>
      </c>
      <c r="AK36" s="172" t="s">
        <v>1542</v>
      </c>
      <c r="AL36" s="172" t="s">
        <v>2498</v>
      </c>
      <c r="AM36" s="172"/>
      <c r="AN36" s="172"/>
      <c r="AO36" s="239">
        <v>45768</v>
      </c>
      <c r="AP36" s="172" t="s">
        <v>2509</v>
      </c>
      <c r="AQ36" s="172" t="str">
        <f t="shared" si="7"/>
        <v/>
      </c>
      <c r="AR36" s="172"/>
      <c r="AT36" t="s">
        <v>2555</v>
      </c>
      <c r="AU36" s="169">
        <v>27000</v>
      </c>
      <c r="AV36" s="169">
        <v>18000</v>
      </c>
      <c r="AW36">
        <f t="shared" si="0"/>
        <v>648000</v>
      </c>
      <c r="AX36">
        <f t="shared" si="1"/>
        <v>432000</v>
      </c>
      <c r="AZ36" t="str">
        <f>IF(_xlfn.XLOOKUP($AK36,価格表__卸価格[品番],価格表__卸価格[代替],"")=0,"",_xlfn.XLOOKUP($AK36,価格表__卸価格[品番],価格表__卸価格[代替],""))</f>
        <v>代替品</v>
      </c>
    </row>
    <row r="37" spans="1:52" ht="24.75" customHeight="1">
      <c r="A37" s="172">
        <f t="shared" si="5"/>
        <v>33</v>
      </c>
      <c r="B37" s="224" t="s">
        <v>2459</v>
      </c>
      <c r="C37" s="224" t="s">
        <v>2507</v>
      </c>
      <c r="D37" s="224" t="s">
        <v>2508</v>
      </c>
      <c r="E37" s="224" t="s">
        <v>2177</v>
      </c>
      <c r="F37" s="224" t="s">
        <v>2422</v>
      </c>
      <c r="G37" s="172" t="s">
        <v>2460</v>
      </c>
      <c r="H37" s="224" t="s">
        <v>2502</v>
      </c>
      <c r="I37" s="224" t="s">
        <v>2185</v>
      </c>
      <c r="J37" s="172" t="s">
        <v>2461</v>
      </c>
      <c r="K37" s="172" t="s">
        <v>2462</v>
      </c>
      <c r="L37" s="172" t="s">
        <v>2463</v>
      </c>
      <c r="M37" s="172" t="s">
        <v>2503</v>
      </c>
      <c r="N37" s="172"/>
      <c r="O37" s="172" t="s">
        <v>2464</v>
      </c>
      <c r="P37" s="224" t="s">
        <v>2504</v>
      </c>
      <c r="Q37" s="172" t="s">
        <v>2465</v>
      </c>
      <c r="R37" s="172" t="s">
        <v>2466</v>
      </c>
      <c r="S37" s="224" t="s">
        <v>2505</v>
      </c>
      <c r="T37" s="172"/>
      <c r="U37" s="172" t="s">
        <v>2460</v>
      </c>
      <c r="V37" s="172" t="s">
        <v>2502</v>
      </c>
      <c r="W37" s="172" t="s">
        <v>2467</v>
      </c>
      <c r="X37" s="172" t="s">
        <v>2463</v>
      </c>
      <c r="Y37" s="224" t="s">
        <v>2503</v>
      </c>
      <c r="Z37" s="172"/>
      <c r="AA37" s="224">
        <v>5</v>
      </c>
      <c r="AB37" s="224" t="s">
        <v>2178</v>
      </c>
      <c r="AC37" s="224"/>
      <c r="AD37" s="224">
        <v>1</v>
      </c>
      <c r="AE37" s="172">
        <v>27000</v>
      </c>
      <c r="AF37" s="172">
        <f t="shared" si="6"/>
        <v>27000</v>
      </c>
      <c r="AG37" s="237">
        <v>45748</v>
      </c>
      <c r="AH37" s="238">
        <v>45748</v>
      </c>
      <c r="AI37" s="172" t="s">
        <v>2184</v>
      </c>
      <c r="AJ37" s="238">
        <v>47573</v>
      </c>
      <c r="AK37" s="172" t="s">
        <v>1542</v>
      </c>
      <c r="AL37" s="172" t="s">
        <v>2499</v>
      </c>
      <c r="AM37" s="172"/>
      <c r="AN37" s="172"/>
      <c r="AO37" s="239">
        <v>45768</v>
      </c>
      <c r="AP37" s="172" t="s">
        <v>2509</v>
      </c>
      <c r="AQ37" s="172" t="str">
        <f t="shared" si="7"/>
        <v/>
      </c>
      <c r="AR37" s="172"/>
      <c r="AT37" t="s">
        <v>2555</v>
      </c>
      <c r="AU37" s="169">
        <v>27000</v>
      </c>
      <c r="AV37" s="169">
        <v>18000</v>
      </c>
      <c r="AW37">
        <f t="shared" ref="AW37:AW48" si="8">SUMIF($B:$B,$B37,$AU:$AU)</f>
        <v>648000</v>
      </c>
      <c r="AX37">
        <f t="shared" ref="AX37:AX48" si="9">SUMIF($B:$B,$B37,$AV:$AV)</f>
        <v>432000</v>
      </c>
      <c r="AZ37" t="str">
        <f>IF(_xlfn.XLOOKUP($AK37,価格表__卸価格[品番],価格表__卸価格[代替],"")=0,"",_xlfn.XLOOKUP($AK37,価格表__卸価格[品番],価格表__卸価格[代替],""))</f>
        <v>代替品</v>
      </c>
    </row>
    <row r="38" spans="1:52" ht="24.75" customHeight="1">
      <c r="A38" s="172">
        <f t="shared" si="5"/>
        <v>34</v>
      </c>
      <c r="B38" s="224" t="s">
        <v>2459</v>
      </c>
      <c r="C38" s="224" t="s">
        <v>2507</v>
      </c>
      <c r="D38" s="224" t="s">
        <v>2508</v>
      </c>
      <c r="E38" s="224" t="s">
        <v>2177</v>
      </c>
      <c r="F38" s="224" t="s">
        <v>2422</v>
      </c>
      <c r="G38" s="172" t="s">
        <v>2460</v>
      </c>
      <c r="H38" s="224" t="s">
        <v>2502</v>
      </c>
      <c r="I38" s="224" t="s">
        <v>2185</v>
      </c>
      <c r="J38" s="172" t="s">
        <v>2461</v>
      </c>
      <c r="K38" s="172" t="s">
        <v>2462</v>
      </c>
      <c r="L38" s="172" t="s">
        <v>2463</v>
      </c>
      <c r="M38" s="172" t="s">
        <v>2503</v>
      </c>
      <c r="N38" s="172"/>
      <c r="O38" s="172" t="s">
        <v>2464</v>
      </c>
      <c r="P38" s="224" t="s">
        <v>2504</v>
      </c>
      <c r="Q38" s="172" t="s">
        <v>2465</v>
      </c>
      <c r="R38" s="172" t="s">
        <v>2466</v>
      </c>
      <c r="S38" s="224" t="s">
        <v>2505</v>
      </c>
      <c r="T38" s="172"/>
      <c r="U38" s="172" t="s">
        <v>2460</v>
      </c>
      <c r="V38" s="172" t="s">
        <v>2502</v>
      </c>
      <c r="W38" s="172" t="s">
        <v>2467</v>
      </c>
      <c r="X38" s="172" t="s">
        <v>2463</v>
      </c>
      <c r="Y38" s="224" t="s">
        <v>2503</v>
      </c>
      <c r="Z38" s="172"/>
      <c r="AA38" s="224">
        <v>5</v>
      </c>
      <c r="AB38" s="224" t="s">
        <v>2178</v>
      </c>
      <c r="AC38" s="224"/>
      <c r="AD38" s="224">
        <v>1</v>
      </c>
      <c r="AE38" s="172">
        <v>27000</v>
      </c>
      <c r="AF38" s="172">
        <f t="shared" si="6"/>
        <v>27000</v>
      </c>
      <c r="AG38" s="237">
        <v>45748</v>
      </c>
      <c r="AH38" s="238">
        <v>45748</v>
      </c>
      <c r="AI38" s="172" t="s">
        <v>2184</v>
      </c>
      <c r="AJ38" s="238">
        <v>47573</v>
      </c>
      <c r="AK38" s="172" t="s">
        <v>1542</v>
      </c>
      <c r="AL38" s="172" t="s">
        <v>2500</v>
      </c>
      <c r="AM38" s="172"/>
      <c r="AN38" s="172"/>
      <c r="AO38" s="239">
        <v>45768</v>
      </c>
      <c r="AP38" s="172" t="s">
        <v>2509</v>
      </c>
      <c r="AQ38" s="172" t="str">
        <f t="shared" si="7"/>
        <v/>
      </c>
      <c r="AR38" s="172"/>
      <c r="AT38" t="s">
        <v>2555</v>
      </c>
      <c r="AU38" s="169">
        <v>27000</v>
      </c>
      <c r="AV38" s="169">
        <v>18000</v>
      </c>
      <c r="AW38">
        <f t="shared" si="8"/>
        <v>648000</v>
      </c>
      <c r="AX38">
        <f t="shared" si="9"/>
        <v>432000</v>
      </c>
      <c r="AZ38" t="str">
        <f>IF(_xlfn.XLOOKUP($AK38,価格表__卸価格[品番],価格表__卸価格[代替],"")=0,"",_xlfn.XLOOKUP($AK38,価格表__卸価格[品番],価格表__卸価格[代替],""))</f>
        <v>代替品</v>
      </c>
    </row>
    <row r="39" spans="1:52" ht="24.75" customHeight="1">
      <c r="A39" s="172">
        <f t="shared" si="5"/>
        <v>35</v>
      </c>
      <c r="B39" s="224" t="s">
        <v>2459</v>
      </c>
      <c r="C39" s="224" t="s">
        <v>2507</v>
      </c>
      <c r="D39" s="224" t="s">
        <v>2508</v>
      </c>
      <c r="E39" s="224" t="s">
        <v>2177</v>
      </c>
      <c r="F39" s="224" t="s">
        <v>2422</v>
      </c>
      <c r="G39" s="172" t="s">
        <v>2460</v>
      </c>
      <c r="H39" s="224" t="s">
        <v>2502</v>
      </c>
      <c r="I39" s="224" t="s">
        <v>2185</v>
      </c>
      <c r="J39" s="172" t="s">
        <v>2461</v>
      </c>
      <c r="K39" s="172" t="s">
        <v>2462</v>
      </c>
      <c r="L39" s="172" t="s">
        <v>2463</v>
      </c>
      <c r="M39" s="172" t="s">
        <v>2503</v>
      </c>
      <c r="N39" s="172"/>
      <c r="O39" s="172" t="s">
        <v>2464</v>
      </c>
      <c r="P39" s="224" t="s">
        <v>2504</v>
      </c>
      <c r="Q39" s="172" t="s">
        <v>2465</v>
      </c>
      <c r="R39" s="172" t="s">
        <v>2466</v>
      </c>
      <c r="S39" s="224" t="s">
        <v>2505</v>
      </c>
      <c r="T39" s="172"/>
      <c r="U39" s="172" t="s">
        <v>2460</v>
      </c>
      <c r="V39" s="172" t="s">
        <v>2502</v>
      </c>
      <c r="W39" s="172" t="s">
        <v>2467</v>
      </c>
      <c r="X39" s="172" t="s">
        <v>2463</v>
      </c>
      <c r="Y39" s="224" t="s">
        <v>2503</v>
      </c>
      <c r="Z39" s="172"/>
      <c r="AA39" s="224">
        <v>5</v>
      </c>
      <c r="AB39" s="224" t="s">
        <v>2178</v>
      </c>
      <c r="AC39" s="224"/>
      <c r="AD39" s="224">
        <v>1</v>
      </c>
      <c r="AE39" s="172">
        <v>27000</v>
      </c>
      <c r="AF39" s="172">
        <f t="shared" si="6"/>
        <v>27000</v>
      </c>
      <c r="AG39" s="237">
        <v>45748</v>
      </c>
      <c r="AH39" s="238">
        <v>45748</v>
      </c>
      <c r="AI39" s="172" t="s">
        <v>2184</v>
      </c>
      <c r="AJ39" s="238">
        <v>47573</v>
      </c>
      <c r="AK39" s="172" t="s">
        <v>1542</v>
      </c>
      <c r="AL39" s="172" t="s">
        <v>2501</v>
      </c>
      <c r="AM39" s="172"/>
      <c r="AN39" s="172"/>
      <c r="AO39" s="239">
        <v>45768</v>
      </c>
      <c r="AP39" s="172" t="s">
        <v>2509</v>
      </c>
      <c r="AQ39" s="172" t="str">
        <f t="shared" si="7"/>
        <v/>
      </c>
      <c r="AR39" s="172"/>
      <c r="AT39" t="s">
        <v>2555</v>
      </c>
      <c r="AU39" s="169">
        <v>27000</v>
      </c>
      <c r="AV39" s="169">
        <v>18000</v>
      </c>
      <c r="AW39">
        <f t="shared" si="8"/>
        <v>648000</v>
      </c>
      <c r="AX39">
        <f t="shared" si="9"/>
        <v>432000</v>
      </c>
      <c r="AZ39" t="str">
        <f>IF(_xlfn.XLOOKUP($AK39,価格表__卸価格[品番],価格表__卸価格[代替],"")=0,"",_xlfn.XLOOKUP($AK39,価格表__卸価格[品番],価格表__卸価格[代替],""))</f>
        <v>代替品</v>
      </c>
    </row>
    <row r="40" spans="1:52" ht="24.75" customHeight="1">
      <c r="A40" s="172">
        <f>ROW() - 4</f>
        <v>36</v>
      </c>
      <c r="B40" s="172" t="s">
        <v>2511</v>
      </c>
      <c r="C40" s="172" t="s">
        <v>2513</v>
      </c>
      <c r="D40" s="172" t="s">
        <v>2514</v>
      </c>
      <c r="E40" s="172" t="s">
        <v>2177</v>
      </c>
      <c r="F40" s="172" t="s">
        <v>2515</v>
      </c>
      <c r="G40" s="172" t="s">
        <v>2456</v>
      </c>
      <c r="H40" s="172" t="s">
        <v>2447</v>
      </c>
      <c r="I40" s="172" t="s">
        <v>2428</v>
      </c>
      <c r="J40" s="172" t="s">
        <v>2429</v>
      </c>
      <c r="K40" s="172" t="s">
        <v>2430</v>
      </c>
      <c r="L40" s="172" t="s">
        <v>2431</v>
      </c>
      <c r="M40" s="172" t="s">
        <v>2448</v>
      </c>
      <c r="N40" s="172"/>
      <c r="O40" s="172" t="s">
        <v>2432</v>
      </c>
      <c r="P40" s="172" t="s">
        <v>2449</v>
      </c>
      <c r="Q40" s="172" t="s">
        <v>2433</v>
      </c>
      <c r="R40" s="172" t="s">
        <v>2434</v>
      </c>
      <c r="S40" s="172" t="s">
        <v>2450</v>
      </c>
      <c r="T40" s="172"/>
      <c r="U40" s="172" t="s">
        <v>2435</v>
      </c>
      <c r="V40" s="172" t="s">
        <v>2451</v>
      </c>
      <c r="W40" s="172" t="s">
        <v>2436</v>
      </c>
      <c r="X40" s="172" t="s">
        <v>2437</v>
      </c>
      <c r="Y40" s="172" t="s">
        <v>2452</v>
      </c>
      <c r="Z40" s="172"/>
      <c r="AA40" s="172">
        <v>5</v>
      </c>
      <c r="AB40" s="172" t="s">
        <v>2178</v>
      </c>
      <c r="AC40" s="172"/>
      <c r="AD40" s="172">
        <v>1</v>
      </c>
      <c r="AE40" s="172">
        <v>282000</v>
      </c>
      <c r="AF40" s="172">
        <f>AE40</f>
        <v>282000</v>
      </c>
      <c r="AG40" s="237">
        <v>45778</v>
      </c>
      <c r="AH40" s="239">
        <v>45778</v>
      </c>
      <c r="AI40" s="172" t="s">
        <v>2184</v>
      </c>
      <c r="AJ40" s="239">
        <v>47603</v>
      </c>
      <c r="AK40" s="172" t="s">
        <v>821</v>
      </c>
      <c r="AL40" s="172" t="s">
        <v>2438</v>
      </c>
      <c r="AM40" s="172"/>
      <c r="AN40" s="172"/>
      <c r="AO40" s="239">
        <v>45768</v>
      </c>
      <c r="AP40" s="172" t="s">
        <v>2453</v>
      </c>
      <c r="AQ40" s="172" t="str">
        <f>IF(COUNTIF($AN40,"*消耗部品交換対象*"),IF(ISBLANK($AH40),"契約期間 未入力",EDATE($AH40,30)),"")</f>
        <v/>
      </c>
      <c r="AR40" s="172" t="s">
        <v>2512</v>
      </c>
      <c r="AT40" s="59" t="s">
        <v>2510</v>
      </c>
      <c r="AU40" s="169">
        <v>321600</v>
      </c>
      <c r="AV40" s="169">
        <v>282000</v>
      </c>
      <c r="AW40">
        <f t="shared" si="8"/>
        <v>751200</v>
      </c>
      <c r="AX40">
        <f t="shared" si="9"/>
        <v>571800</v>
      </c>
      <c r="AY40" s="59"/>
      <c r="AZ40" s="59" t="str">
        <f>IF(_xlfn.XLOOKUP($AK40,価格表__卸価格[品番],価格表__卸価格[代替],"")=0,"",_xlfn.XLOOKUP($AK40,価格表__卸価格[品番],価格表__卸価格[代替],""))</f>
        <v/>
      </c>
    </row>
    <row r="41" spans="1:52" ht="24.75" customHeight="1">
      <c r="A41" s="172">
        <f t="shared" ref="A41:A48" si="10">ROW() - 4</f>
        <v>37</v>
      </c>
      <c r="B41" s="172" t="s">
        <v>2511</v>
      </c>
      <c r="C41" s="172" t="s">
        <v>2513</v>
      </c>
      <c r="D41" s="172" t="s">
        <v>2514</v>
      </c>
      <c r="E41" s="172" t="s">
        <v>2177</v>
      </c>
      <c r="F41" s="172" t="s">
        <v>2515</v>
      </c>
      <c r="G41" s="172" t="s">
        <v>2427</v>
      </c>
      <c r="H41" s="172" t="s">
        <v>2447</v>
      </c>
      <c r="I41" s="172" t="s">
        <v>2428</v>
      </c>
      <c r="J41" s="172" t="s">
        <v>2429</v>
      </c>
      <c r="K41" s="172" t="s">
        <v>2430</v>
      </c>
      <c r="L41" s="172" t="s">
        <v>2431</v>
      </c>
      <c r="M41" s="172" t="s">
        <v>2448</v>
      </c>
      <c r="N41" s="172"/>
      <c r="O41" s="172" t="s">
        <v>2432</v>
      </c>
      <c r="P41" s="172" t="s">
        <v>2449</v>
      </c>
      <c r="Q41" s="172" t="s">
        <v>2433</v>
      </c>
      <c r="R41" s="172" t="s">
        <v>2434</v>
      </c>
      <c r="S41" s="172" t="s">
        <v>2450</v>
      </c>
      <c r="T41" s="172"/>
      <c r="U41" s="172" t="s">
        <v>2435</v>
      </c>
      <c r="V41" s="172" t="s">
        <v>2451</v>
      </c>
      <c r="W41" s="172" t="s">
        <v>2436</v>
      </c>
      <c r="X41" s="172" t="s">
        <v>2437</v>
      </c>
      <c r="Y41" s="172" t="s">
        <v>2452</v>
      </c>
      <c r="Z41" s="172"/>
      <c r="AA41" s="172">
        <v>5</v>
      </c>
      <c r="AB41" s="172" t="s">
        <v>2178</v>
      </c>
      <c r="AC41" s="172"/>
      <c r="AD41" s="172">
        <v>1</v>
      </c>
      <c r="AE41" s="172">
        <v>36000</v>
      </c>
      <c r="AF41" s="172">
        <f t="shared" ref="AF41:AF48" si="11">AE41</f>
        <v>36000</v>
      </c>
      <c r="AG41" s="237">
        <v>45778</v>
      </c>
      <c r="AH41" s="239">
        <v>45778</v>
      </c>
      <c r="AI41" s="172" t="s">
        <v>2184</v>
      </c>
      <c r="AJ41" s="239">
        <v>47603</v>
      </c>
      <c r="AK41" s="172" t="s">
        <v>1468</v>
      </c>
      <c r="AL41" s="172" t="s">
        <v>2439</v>
      </c>
      <c r="AM41" s="172"/>
      <c r="AN41" s="172"/>
      <c r="AO41" s="239">
        <v>45768</v>
      </c>
      <c r="AP41" s="172" t="s">
        <v>2453</v>
      </c>
      <c r="AQ41" s="172" t="str">
        <f t="shared" ref="AQ41:AQ48" si="12">IF(COUNTIF($AN41,"*消耗部品交換対象*"),IF(ISBLANK($AH41),"契約期間 未入力",EDATE($AH41,30)),"")</f>
        <v/>
      </c>
      <c r="AR41" s="172"/>
      <c r="AT41" s="59" t="s">
        <v>2457</v>
      </c>
      <c r="AU41" s="169">
        <v>53400</v>
      </c>
      <c r="AV41" s="169">
        <v>36000</v>
      </c>
      <c r="AW41">
        <f t="shared" si="8"/>
        <v>751200</v>
      </c>
      <c r="AX41">
        <f t="shared" si="9"/>
        <v>571800</v>
      </c>
      <c r="AY41" s="59"/>
      <c r="AZ41" s="59" t="str">
        <f>IF(_xlfn.XLOOKUP($AK41,価格表__卸価格[品番],価格表__卸価格[代替],"")=0,"",_xlfn.XLOOKUP($AK41,価格表__卸価格[品番],価格表__卸価格[代替],""))</f>
        <v>代替品</v>
      </c>
    </row>
    <row r="42" spans="1:52" ht="24.75" customHeight="1">
      <c r="A42" s="172">
        <f t="shared" si="10"/>
        <v>38</v>
      </c>
      <c r="B42" s="172" t="s">
        <v>2511</v>
      </c>
      <c r="C42" s="172" t="s">
        <v>2513</v>
      </c>
      <c r="D42" s="172" t="s">
        <v>2514</v>
      </c>
      <c r="E42" s="172" t="s">
        <v>2177</v>
      </c>
      <c r="F42" s="172" t="s">
        <v>2515</v>
      </c>
      <c r="G42" s="172" t="s">
        <v>2427</v>
      </c>
      <c r="H42" s="172" t="s">
        <v>2447</v>
      </c>
      <c r="I42" s="172" t="s">
        <v>2428</v>
      </c>
      <c r="J42" s="172" t="s">
        <v>2429</v>
      </c>
      <c r="K42" s="172" t="s">
        <v>2430</v>
      </c>
      <c r="L42" s="172" t="s">
        <v>2431</v>
      </c>
      <c r="M42" s="172" t="s">
        <v>2448</v>
      </c>
      <c r="N42" s="172"/>
      <c r="O42" s="172" t="s">
        <v>2432</v>
      </c>
      <c r="P42" s="172" t="s">
        <v>2449</v>
      </c>
      <c r="Q42" s="172" t="s">
        <v>2433</v>
      </c>
      <c r="R42" s="172" t="s">
        <v>2434</v>
      </c>
      <c r="S42" s="172" t="s">
        <v>2450</v>
      </c>
      <c r="T42" s="172"/>
      <c r="U42" s="172" t="s">
        <v>2435</v>
      </c>
      <c r="V42" s="172" t="s">
        <v>2451</v>
      </c>
      <c r="W42" s="172" t="s">
        <v>2436</v>
      </c>
      <c r="X42" s="172" t="s">
        <v>2437</v>
      </c>
      <c r="Y42" s="172" t="s">
        <v>2452</v>
      </c>
      <c r="Z42" s="172"/>
      <c r="AA42" s="172">
        <v>5</v>
      </c>
      <c r="AB42" s="172" t="s">
        <v>2178</v>
      </c>
      <c r="AC42" s="172"/>
      <c r="AD42" s="172">
        <v>1</v>
      </c>
      <c r="AE42" s="172">
        <v>36000</v>
      </c>
      <c r="AF42" s="172">
        <f t="shared" si="11"/>
        <v>36000</v>
      </c>
      <c r="AG42" s="237">
        <v>45778</v>
      </c>
      <c r="AH42" s="239">
        <v>45778</v>
      </c>
      <c r="AI42" s="172" t="s">
        <v>2184</v>
      </c>
      <c r="AJ42" s="239">
        <v>47603</v>
      </c>
      <c r="AK42" s="172" t="s">
        <v>1468</v>
      </c>
      <c r="AL42" s="172" t="s">
        <v>2440</v>
      </c>
      <c r="AM42" s="172"/>
      <c r="AN42" s="172"/>
      <c r="AO42" s="239">
        <v>45768</v>
      </c>
      <c r="AP42" s="172" t="s">
        <v>2453</v>
      </c>
      <c r="AQ42" s="172" t="str">
        <f t="shared" si="12"/>
        <v/>
      </c>
      <c r="AR42" s="172"/>
      <c r="AT42" s="59" t="s">
        <v>2457</v>
      </c>
      <c r="AU42" s="169">
        <v>53400</v>
      </c>
      <c r="AV42" s="169">
        <v>36000</v>
      </c>
      <c r="AW42">
        <f t="shared" si="8"/>
        <v>751200</v>
      </c>
      <c r="AX42">
        <f t="shared" si="9"/>
        <v>571800</v>
      </c>
      <c r="AY42" s="59"/>
      <c r="AZ42" s="59" t="str">
        <f>IF(_xlfn.XLOOKUP($AK42,価格表__卸価格[品番],価格表__卸価格[代替],"")=0,"",_xlfn.XLOOKUP($AK42,価格表__卸価格[品番],価格表__卸価格[代替],""))</f>
        <v>代替品</v>
      </c>
    </row>
    <row r="43" spans="1:52" ht="24.75" customHeight="1">
      <c r="A43" s="172">
        <f t="shared" si="10"/>
        <v>39</v>
      </c>
      <c r="B43" s="172" t="s">
        <v>2511</v>
      </c>
      <c r="C43" s="172" t="s">
        <v>2513</v>
      </c>
      <c r="D43" s="172" t="s">
        <v>2514</v>
      </c>
      <c r="E43" s="172" t="s">
        <v>2177</v>
      </c>
      <c r="F43" s="172" t="s">
        <v>2515</v>
      </c>
      <c r="G43" s="172" t="s">
        <v>2427</v>
      </c>
      <c r="H43" s="172" t="s">
        <v>2447</v>
      </c>
      <c r="I43" s="172" t="s">
        <v>2428</v>
      </c>
      <c r="J43" s="172" t="s">
        <v>2429</v>
      </c>
      <c r="K43" s="172" t="s">
        <v>2430</v>
      </c>
      <c r="L43" s="172" t="s">
        <v>2431</v>
      </c>
      <c r="M43" s="172" t="s">
        <v>2448</v>
      </c>
      <c r="N43" s="172"/>
      <c r="O43" s="172" t="s">
        <v>2432</v>
      </c>
      <c r="P43" s="172" t="s">
        <v>2449</v>
      </c>
      <c r="Q43" s="172" t="s">
        <v>2433</v>
      </c>
      <c r="R43" s="172" t="s">
        <v>2434</v>
      </c>
      <c r="S43" s="172" t="s">
        <v>2450</v>
      </c>
      <c r="T43" s="172"/>
      <c r="U43" s="172" t="s">
        <v>2435</v>
      </c>
      <c r="V43" s="172" t="s">
        <v>2451</v>
      </c>
      <c r="W43" s="172" t="s">
        <v>2436</v>
      </c>
      <c r="X43" s="172" t="s">
        <v>2437</v>
      </c>
      <c r="Y43" s="172" t="s">
        <v>2452</v>
      </c>
      <c r="Z43" s="172"/>
      <c r="AA43" s="172">
        <v>5</v>
      </c>
      <c r="AB43" s="172" t="s">
        <v>2178</v>
      </c>
      <c r="AC43" s="172"/>
      <c r="AD43" s="172">
        <v>1</v>
      </c>
      <c r="AE43" s="172">
        <v>36000</v>
      </c>
      <c r="AF43" s="172">
        <f t="shared" si="11"/>
        <v>36000</v>
      </c>
      <c r="AG43" s="237">
        <v>45778</v>
      </c>
      <c r="AH43" s="239">
        <v>45778</v>
      </c>
      <c r="AI43" s="172" t="s">
        <v>2184</v>
      </c>
      <c r="AJ43" s="239">
        <v>47603</v>
      </c>
      <c r="AK43" s="172" t="s">
        <v>1468</v>
      </c>
      <c r="AL43" s="172" t="s">
        <v>2441</v>
      </c>
      <c r="AM43" s="172"/>
      <c r="AN43" s="172"/>
      <c r="AO43" s="239">
        <v>45768</v>
      </c>
      <c r="AP43" s="172" t="s">
        <v>2453</v>
      </c>
      <c r="AQ43" s="172" t="str">
        <f t="shared" si="12"/>
        <v/>
      </c>
      <c r="AR43" s="172"/>
      <c r="AT43" s="59" t="s">
        <v>2457</v>
      </c>
      <c r="AU43" s="169">
        <v>53400</v>
      </c>
      <c r="AV43" s="169">
        <v>36000</v>
      </c>
      <c r="AW43">
        <f t="shared" si="8"/>
        <v>751200</v>
      </c>
      <c r="AX43">
        <f t="shared" si="9"/>
        <v>571800</v>
      </c>
      <c r="AY43" s="59"/>
      <c r="AZ43" s="59" t="str">
        <f>IF(_xlfn.XLOOKUP($AK43,価格表__卸価格[品番],価格表__卸価格[代替],"")=0,"",_xlfn.XLOOKUP($AK43,価格表__卸価格[品番],価格表__卸価格[代替],""))</f>
        <v>代替品</v>
      </c>
    </row>
    <row r="44" spans="1:52" ht="24.75" customHeight="1">
      <c r="A44" s="172">
        <f t="shared" si="10"/>
        <v>40</v>
      </c>
      <c r="B44" s="172" t="s">
        <v>2511</v>
      </c>
      <c r="C44" s="172" t="s">
        <v>2513</v>
      </c>
      <c r="D44" s="172" t="s">
        <v>2514</v>
      </c>
      <c r="E44" s="172" t="s">
        <v>2177</v>
      </c>
      <c r="F44" s="172" t="s">
        <v>2515</v>
      </c>
      <c r="G44" s="172" t="s">
        <v>2427</v>
      </c>
      <c r="H44" s="172" t="s">
        <v>2447</v>
      </c>
      <c r="I44" s="172" t="s">
        <v>2428</v>
      </c>
      <c r="J44" s="172" t="s">
        <v>2429</v>
      </c>
      <c r="K44" s="172" t="s">
        <v>2430</v>
      </c>
      <c r="L44" s="172" t="s">
        <v>2431</v>
      </c>
      <c r="M44" s="172" t="s">
        <v>2448</v>
      </c>
      <c r="N44" s="172"/>
      <c r="O44" s="172" t="s">
        <v>2432</v>
      </c>
      <c r="P44" s="172" t="s">
        <v>2449</v>
      </c>
      <c r="Q44" s="172" t="s">
        <v>2433</v>
      </c>
      <c r="R44" s="172" t="s">
        <v>2434</v>
      </c>
      <c r="S44" s="172" t="s">
        <v>2450</v>
      </c>
      <c r="T44" s="172"/>
      <c r="U44" s="172" t="s">
        <v>2435</v>
      </c>
      <c r="V44" s="172" t="s">
        <v>2451</v>
      </c>
      <c r="W44" s="172" t="s">
        <v>2436</v>
      </c>
      <c r="X44" s="172" t="s">
        <v>2437</v>
      </c>
      <c r="Y44" s="172" t="s">
        <v>2452</v>
      </c>
      <c r="Z44" s="172"/>
      <c r="AA44" s="172">
        <v>5</v>
      </c>
      <c r="AB44" s="172" t="s">
        <v>2178</v>
      </c>
      <c r="AC44" s="172"/>
      <c r="AD44" s="172">
        <v>1</v>
      </c>
      <c r="AE44" s="172">
        <v>36000</v>
      </c>
      <c r="AF44" s="172">
        <f t="shared" si="11"/>
        <v>36000</v>
      </c>
      <c r="AG44" s="237">
        <v>45778</v>
      </c>
      <c r="AH44" s="239">
        <v>45778</v>
      </c>
      <c r="AI44" s="172" t="s">
        <v>2184</v>
      </c>
      <c r="AJ44" s="239">
        <v>47603</v>
      </c>
      <c r="AK44" s="172" t="s">
        <v>1468</v>
      </c>
      <c r="AL44" s="172" t="s">
        <v>2442</v>
      </c>
      <c r="AM44" s="172"/>
      <c r="AN44" s="172"/>
      <c r="AO44" s="239">
        <v>45768</v>
      </c>
      <c r="AP44" s="172" t="s">
        <v>2453</v>
      </c>
      <c r="AQ44" s="172" t="str">
        <f t="shared" si="12"/>
        <v/>
      </c>
      <c r="AR44" s="172"/>
      <c r="AT44" s="59" t="s">
        <v>2457</v>
      </c>
      <c r="AU44" s="169">
        <v>53400</v>
      </c>
      <c r="AV44" s="169">
        <v>36000</v>
      </c>
      <c r="AW44">
        <f t="shared" si="8"/>
        <v>751200</v>
      </c>
      <c r="AX44">
        <f t="shared" si="9"/>
        <v>571800</v>
      </c>
      <c r="AY44" s="59"/>
      <c r="AZ44" s="59" t="str">
        <f>IF(_xlfn.XLOOKUP($AK44,価格表__卸価格[品番],価格表__卸価格[代替],"")=0,"",_xlfn.XLOOKUP($AK44,価格表__卸価格[品番],価格表__卸価格[代替],""))</f>
        <v>代替品</v>
      </c>
    </row>
    <row r="45" spans="1:52" ht="24.75" customHeight="1">
      <c r="A45" s="172">
        <f t="shared" si="10"/>
        <v>41</v>
      </c>
      <c r="B45" s="172" t="s">
        <v>2511</v>
      </c>
      <c r="C45" s="172" t="s">
        <v>2513</v>
      </c>
      <c r="D45" s="172" t="s">
        <v>2514</v>
      </c>
      <c r="E45" s="172" t="s">
        <v>2177</v>
      </c>
      <c r="F45" s="172" t="s">
        <v>2515</v>
      </c>
      <c r="G45" s="172" t="s">
        <v>2427</v>
      </c>
      <c r="H45" s="172" t="s">
        <v>2447</v>
      </c>
      <c r="I45" s="172" t="s">
        <v>2428</v>
      </c>
      <c r="J45" s="172" t="s">
        <v>2429</v>
      </c>
      <c r="K45" s="172" t="s">
        <v>2430</v>
      </c>
      <c r="L45" s="172" t="s">
        <v>2431</v>
      </c>
      <c r="M45" s="172" t="s">
        <v>2448</v>
      </c>
      <c r="N45" s="172"/>
      <c r="O45" s="172" t="s">
        <v>2432</v>
      </c>
      <c r="P45" s="172" t="s">
        <v>2449</v>
      </c>
      <c r="Q45" s="172" t="s">
        <v>2433</v>
      </c>
      <c r="R45" s="172" t="s">
        <v>2434</v>
      </c>
      <c r="S45" s="172" t="s">
        <v>2450</v>
      </c>
      <c r="T45" s="172"/>
      <c r="U45" s="172" t="s">
        <v>2435</v>
      </c>
      <c r="V45" s="172" t="s">
        <v>2451</v>
      </c>
      <c r="W45" s="172" t="s">
        <v>2436</v>
      </c>
      <c r="X45" s="172" t="s">
        <v>2437</v>
      </c>
      <c r="Y45" s="172" t="s">
        <v>2452</v>
      </c>
      <c r="Z45" s="172"/>
      <c r="AA45" s="172">
        <v>5</v>
      </c>
      <c r="AB45" s="172" t="s">
        <v>2178</v>
      </c>
      <c r="AC45" s="172"/>
      <c r="AD45" s="172">
        <v>1</v>
      </c>
      <c r="AE45" s="172">
        <v>36000</v>
      </c>
      <c r="AF45" s="172">
        <f t="shared" si="11"/>
        <v>36000</v>
      </c>
      <c r="AG45" s="237">
        <v>45778</v>
      </c>
      <c r="AH45" s="239">
        <v>45778</v>
      </c>
      <c r="AI45" s="172" t="s">
        <v>2184</v>
      </c>
      <c r="AJ45" s="239">
        <v>47603</v>
      </c>
      <c r="AK45" s="172" t="s">
        <v>1468</v>
      </c>
      <c r="AL45" s="172" t="s">
        <v>2443</v>
      </c>
      <c r="AM45" s="172"/>
      <c r="AN45" s="172"/>
      <c r="AO45" s="239">
        <v>45768</v>
      </c>
      <c r="AP45" s="172" t="s">
        <v>2453</v>
      </c>
      <c r="AQ45" s="172" t="str">
        <f t="shared" si="12"/>
        <v/>
      </c>
      <c r="AR45" s="172"/>
      <c r="AT45" s="59" t="s">
        <v>2457</v>
      </c>
      <c r="AU45" s="169">
        <v>53400</v>
      </c>
      <c r="AV45" s="169">
        <v>36000</v>
      </c>
      <c r="AW45">
        <f t="shared" si="8"/>
        <v>751200</v>
      </c>
      <c r="AX45">
        <f t="shared" si="9"/>
        <v>571800</v>
      </c>
      <c r="AY45" s="59"/>
      <c r="AZ45" s="59" t="str">
        <f>IF(_xlfn.XLOOKUP($AK45,価格表__卸価格[品番],価格表__卸価格[代替],"")=0,"",_xlfn.XLOOKUP($AK45,価格表__卸価格[品番],価格表__卸価格[代替],""))</f>
        <v>代替品</v>
      </c>
    </row>
    <row r="46" spans="1:52" ht="24.75" customHeight="1">
      <c r="A46" s="172">
        <f t="shared" si="10"/>
        <v>42</v>
      </c>
      <c r="B46" s="172" t="s">
        <v>2511</v>
      </c>
      <c r="C46" s="172" t="s">
        <v>2513</v>
      </c>
      <c r="D46" s="172" t="s">
        <v>2514</v>
      </c>
      <c r="E46" s="172" t="s">
        <v>2177</v>
      </c>
      <c r="F46" s="172" t="s">
        <v>2515</v>
      </c>
      <c r="G46" s="172" t="s">
        <v>2427</v>
      </c>
      <c r="H46" s="172" t="s">
        <v>2447</v>
      </c>
      <c r="I46" s="172" t="s">
        <v>2428</v>
      </c>
      <c r="J46" s="172" t="s">
        <v>2429</v>
      </c>
      <c r="K46" s="172" t="s">
        <v>2430</v>
      </c>
      <c r="L46" s="172" t="s">
        <v>2431</v>
      </c>
      <c r="M46" s="172" t="s">
        <v>2448</v>
      </c>
      <c r="N46" s="172"/>
      <c r="O46" s="172" t="s">
        <v>2432</v>
      </c>
      <c r="P46" s="172" t="s">
        <v>2449</v>
      </c>
      <c r="Q46" s="172" t="s">
        <v>2433</v>
      </c>
      <c r="R46" s="172" t="s">
        <v>2434</v>
      </c>
      <c r="S46" s="172" t="s">
        <v>2450</v>
      </c>
      <c r="T46" s="172"/>
      <c r="U46" s="172" t="s">
        <v>2435</v>
      </c>
      <c r="V46" s="172" t="s">
        <v>2451</v>
      </c>
      <c r="W46" s="172" t="s">
        <v>2436</v>
      </c>
      <c r="X46" s="172" t="s">
        <v>2437</v>
      </c>
      <c r="Y46" s="172" t="s">
        <v>2452</v>
      </c>
      <c r="Z46" s="172"/>
      <c r="AA46" s="172">
        <v>5</v>
      </c>
      <c r="AB46" s="172" t="s">
        <v>2178</v>
      </c>
      <c r="AC46" s="172"/>
      <c r="AD46" s="172">
        <v>1</v>
      </c>
      <c r="AE46" s="172">
        <v>36000</v>
      </c>
      <c r="AF46" s="172">
        <f t="shared" si="11"/>
        <v>36000</v>
      </c>
      <c r="AG46" s="237">
        <v>45778</v>
      </c>
      <c r="AH46" s="239">
        <v>45778</v>
      </c>
      <c r="AI46" s="172" t="s">
        <v>2184</v>
      </c>
      <c r="AJ46" s="239">
        <v>47603</v>
      </c>
      <c r="AK46" s="172" t="s">
        <v>1468</v>
      </c>
      <c r="AL46" s="172" t="s">
        <v>2444</v>
      </c>
      <c r="AM46" s="172"/>
      <c r="AN46" s="172"/>
      <c r="AO46" s="239">
        <v>45768</v>
      </c>
      <c r="AP46" s="172" t="s">
        <v>2453</v>
      </c>
      <c r="AQ46" s="172" t="str">
        <f t="shared" si="12"/>
        <v/>
      </c>
      <c r="AR46" s="172"/>
      <c r="AT46" s="59" t="s">
        <v>2457</v>
      </c>
      <c r="AU46" s="169">
        <v>53400</v>
      </c>
      <c r="AV46" s="169">
        <v>36000</v>
      </c>
      <c r="AW46">
        <f t="shared" si="8"/>
        <v>751200</v>
      </c>
      <c r="AX46">
        <f t="shared" si="9"/>
        <v>571800</v>
      </c>
      <c r="AY46" s="59"/>
      <c r="AZ46" s="59" t="str">
        <f>IF(_xlfn.XLOOKUP($AK46,価格表__卸価格[品番],価格表__卸価格[代替],"")=0,"",_xlfn.XLOOKUP($AK46,価格表__卸価格[品番],価格表__卸価格[代替],""))</f>
        <v>代替品</v>
      </c>
    </row>
    <row r="47" spans="1:52" ht="24.75" customHeight="1">
      <c r="A47" s="172">
        <f t="shared" si="10"/>
        <v>43</v>
      </c>
      <c r="B47" s="172" t="s">
        <v>2511</v>
      </c>
      <c r="C47" s="172" t="s">
        <v>2513</v>
      </c>
      <c r="D47" s="172" t="s">
        <v>2514</v>
      </c>
      <c r="E47" s="172" t="s">
        <v>2177</v>
      </c>
      <c r="F47" s="172" t="s">
        <v>2515</v>
      </c>
      <c r="G47" s="172" t="s">
        <v>2427</v>
      </c>
      <c r="H47" s="172" t="s">
        <v>2447</v>
      </c>
      <c r="I47" s="172" t="s">
        <v>2428</v>
      </c>
      <c r="J47" s="172" t="s">
        <v>2429</v>
      </c>
      <c r="K47" s="172" t="s">
        <v>2430</v>
      </c>
      <c r="L47" s="172" t="s">
        <v>2431</v>
      </c>
      <c r="M47" s="172" t="s">
        <v>2448</v>
      </c>
      <c r="N47" s="172"/>
      <c r="O47" s="172" t="s">
        <v>2432</v>
      </c>
      <c r="P47" s="172" t="s">
        <v>2449</v>
      </c>
      <c r="Q47" s="172" t="s">
        <v>2433</v>
      </c>
      <c r="R47" s="172" t="s">
        <v>2434</v>
      </c>
      <c r="S47" s="172" t="s">
        <v>2450</v>
      </c>
      <c r="T47" s="172"/>
      <c r="U47" s="172" t="s">
        <v>2435</v>
      </c>
      <c r="V47" s="172" t="s">
        <v>2451</v>
      </c>
      <c r="W47" s="172" t="s">
        <v>2436</v>
      </c>
      <c r="X47" s="172" t="s">
        <v>2437</v>
      </c>
      <c r="Y47" s="172" t="s">
        <v>2452</v>
      </c>
      <c r="Z47" s="172"/>
      <c r="AA47" s="172">
        <v>5</v>
      </c>
      <c r="AB47" s="172" t="s">
        <v>2178</v>
      </c>
      <c r="AC47" s="172"/>
      <c r="AD47" s="172">
        <v>1</v>
      </c>
      <c r="AE47" s="172">
        <v>36000</v>
      </c>
      <c r="AF47" s="172">
        <f t="shared" si="11"/>
        <v>36000</v>
      </c>
      <c r="AG47" s="237">
        <v>45778</v>
      </c>
      <c r="AH47" s="239">
        <v>45778</v>
      </c>
      <c r="AI47" s="172" t="s">
        <v>2184</v>
      </c>
      <c r="AJ47" s="239">
        <v>47603</v>
      </c>
      <c r="AK47" s="172" t="s">
        <v>1468</v>
      </c>
      <c r="AL47" s="172" t="s">
        <v>2445</v>
      </c>
      <c r="AM47" s="172"/>
      <c r="AN47" s="172"/>
      <c r="AO47" s="239">
        <v>45768</v>
      </c>
      <c r="AP47" s="172" t="s">
        <v>2453</v>
      </c>
      <c r="AQ47" s="172" t="str">
        <f t="shared" si="12"/>
        <v/>
      </c>
      <c r="AR47" s="172"/>
      <c r="AT47" s="59" t="s">
        <v>2457</v>
      </c>
      <c r="AU47" s="169">
        <v>53400</v>
      </c>
      <c r="AV47" s="169">
        <v>36000</v>
      </c>
      <c r="AW47">
        <f t="shared" si="8"/>
        <v>751200</v>
      </c>
      <c r="AX47">
        <f t="shared" si="9"/>
        <v>571800</v>
      </c>
      <c r="AY47" s="59"/>
      <c r="AZ47" s="59" t="str">
        <f>IF(_xlfn.XLOOKUP($AK47,価格表__卸価格[品番],価格表__卸価格[代替],"")=0,"",_xlfn.XLOOKUP($AK47,価格表__卸価格[品番],価格表__卸価格[代替],""))</f>
        <v>代替品</v>
      </c>
    </row>
    <row r="48" spans="1:52" ht="24.75" customHeight="1">
      <c r="A48" s="172">
        <f t="shared" si="10"/>
        <v>44</v>
      </c>
      <c r="B48" s="172" t="s">
        <v>2511</v>
      </c>
      <c r="C48" s="172" t="s">
        <v>2513</v>
      </c>
      <c r="D48" s="172" t="s">
        <v>2514</v>
      </c>
      <c r="E48" s="172" t="s">
        <v>2177</v>
      </c>
      <c r="F48" s="172" t="s">
        <v>2515</v>
      </c>
      <c r="G48" s="172" t="s">
        <v>2427</v>
      </c>
      <c r="H48" s="172" t="s">
        <v>2447</v>
      </c>
      <c r="I48" s="172" t="s">
        <v>2428</v>
      </c>
      <c r="J48" s="172" t="s">
        <v>2429</v>
      </c>
      <c r="K48" s="172" t="s">
        <v>2430</v>
      </c>
      <c r="L48" s="172" t="s">
        <v>2431</v>
      </c>
      <c r="M48" s="172" t="s">
        <v>2448</v>
      </c>
      <c r="N48" s="172"/>
      <c r="O48" s="172" t="s">
        <v>2432</v>
      </c>
      <c r="P48" s="172" t="s">
        <v>2449</v>
      </c>
      <c r="Q48" s="172" t="s">
        <v>2433</v>
      </c>
      <c r="R48" s="172" t="s">
        <v>2434</v>
      </c>
      <c r="S48" s="172" t="s">
        <v>2450</v>
      </c>
      <c r="T48" s="172"/>
      <c r="U48" s="172" t="s">
        <v>2435</v>
      </c>
      <c r="V48" s="172" t="s">
        <v>2451</v>
      </c>
      <c r="W48" s="172" t="s">
        <v>2436</v>
      </c>
      <c r="X48" s="172" t="s">
        <v>2437</v>
      </c>
      <c r="Y48" s="172" t="s">
        <v>2452</v>
      </c>
      <c r="Z48" s="172"/>
      <c r="AA48" s="172">
        <v>5</v>
      </c>
      <c r="AB48" s="172" t="s">
        <v>2178</v>
      </c>
      <c r="AC48" s="172"/>
      <c r="AD48" s="172">
        <v>1</v>
      </c>
      <c r="AE48" s="172">
        <v>37800</v>
      </c>
      <c r="AF48" s="172">
        <f t="shared" si="11"/>
        <v>37800</v>
      </c>
      <c r="AG48" s="237">
        <v>45778</v>
      </c>
      <c r="AH48" s="239">
        <v>45778</v>
      </c>
      <c r="AI48" s="172" t="s">
        <v>2184</v>
      </c>
      <c r="AJ48" s="239">
        <v>47603</v>
      </c>
      <c r="AK48" s="172" t="s">
        <v>198</v>
      </c>
      <c r="AL48" s="172" t="s">
        <v>2446</v>
      </c>
      <c r="AM48" s="172"/>
      <c r="AN48" s="172"/>
      <c r="AO48" s="239">
        <v>45768</v>
      </c>
      <c r="AP48" s="172" t="s">
        <v>2453</v>
      </c>
      <c r="AQ48" s="172" t="str">
        <f t="shared" si="12"/>
        <v/>
      </c>
      <c r="AR48" s="172"/>
      <c r="AT48" s="59" t="s">
        <v>2458</v>
      </c>
      <c r="AU48" s="169">
        <v>55800</v>
      </c>
      <c r="AV48" s="169">
        <v>37800</v>
      </c>
      <c r="AW48">
        <f t="shared" si="8"/>
        <v>751200</v>
      </c>
      <c r="AX48">
        <f t="shared" si="9"/>
        <v>571800</v>
      </c>
      <c r="AY48" s="59"/>
      <c r="AZ48" s="59" t="str">
        <f>IF(_xlfn.XLOOKUP($AK48,価格表__卸価格[品番],価格表__卸価格[代替],"")=0,"",_xlfn.XLOOKUP($AK48,価格表__卸価格[品番],価格表__卸価格[代替],""))</f>
        <v>代替品</v>
      </c>
    </row>
    <row r="49" spans="1:52" ht="24.75" customHeight="1">
      <c r="A49" s="172">
        <f>ROW() - 4</f>
        <v>45</v>
      </c>
      <c r="B49" s="172" t="s">
        <v>2557</v>
      </c>
      <c r="C49" s="172" t="s">
        <v>2591</v>
      </c>
      <c r="D49" s="172" t="s">
        <v>2592</v>
      </c>
      <c r="E49" s="172" t="s">
        <v>2177</v>
      </c>
      <c r="F49" s="172" t="s">
        <v>2593</v>
      </c>
      <c r="G49" s="172" t="s">
        <v>2594</v>
      </c>
      <c r="H49" s="172" t="s">
        <v>2595</v>
      </c>
      <c r="I49" s="172" t="s">
        <v>2185</v>
      </c>
      <c r="J49" s="172" t="s">
        <v>2596</v>
      </c>
      <c r="K49" s="172" t="s">
        <v>2597</v>
      </c>
      <c r="L49" s="172" t="s">
        <v>2598</v>
      </c>
      <c r="M49" s="172" t="s">
        <v>2599</v>
      </c>
      <c r="N49" s="172"/>
      <c r="O49" s="172" t="s">
        <v>2600</v>
      </c>
      <c r="P49" s="172" t="s">
        <v>2601</v>
      </c>
      <c r="Q49" s="172" t="s">
        <v>2602</v>
      </c>
      <c r="R49" s="172" t="s">
        <v>2603</v>
      </c>
      <c r="S49" s="172" t="s">
        <v>2604</v>
      </c>
      <c r="T49" s="172"/>
      <c r="U49" s="172" t="s">
        <v>2594</v>
      </c>
      <c r="V49" s="172" t="s">
        <v>2595</v>
      </c>
      <c r="W49" s="172" t="s">
        <v>2605</v>
      </c>
      <c r="X49" s="172" t="s">
        <v>2598</v>
      </c>
      <c r="Y49" s="172" t="s">
        <v>2599</v>
      </c>
      <c r="Z49" s="172"/>
      <c r="AA49" s="172">
        <v>3</v>
      </c>
      <c r="AB49" s="172" t="s">
        <v>2178</v>
      </c>
      <c r="AC49" s="172"/>
      <c r="AD49" s="172">
        <v>1</v>
      </c>
      <c r="AE49" s="172">
        <v>6120</v>
      </c>
      <c r="AF49" s="172">
        <v>6120</v>
      </c>
      <c r="AG49" s="237">
        <v>45778</v>
      </c>
      <c r="AH49" s="239">
        <v>45785</v>
      </c>
      <c r="AI49" s="172" t="s">
        <v>2184</v>
      </c>
      <c r="AJ49" s="239">
        <v>46880</v>
      </c>
      <c r="AK49" s="172" t="s">
        <v>1566</v>
      </c>
      <c r="AL49" s="172" t="s">
        <v>2606</v>
      </c>
      <c r="AM49" s="172">
        <v>45778</v>
      </c>
      <c r="AN49" s="172"/>
      <c r="AO49" s="239">
        <v>45791</v>
      </c>
      <c r="AP49" s="172" t="s">
        <v>2607</v>
      </c>
      <c r="AQ49" s="172" t="s">
        <v>2608</v>
      </c>
      <c r="AR49" s="172"/>
      <c r="AT49" t="s">
        <v>1567</v>
      </c>
      <c r="AU49" s="169">
        <v>6120</v>
      </c>
      <c r="AV49" s="169">
        <v>5400</v>
      </c>
      <c r="AW49">
        <v>208800</v>
      </c>
      <c r="AX49">
        <v>146160</v>
      </c>
      <c r="AZ49" t="s">
        <v>2088</v>
      </c>
    </row>
    <row r="50" spans="1:52" ht="24.75" customHeight="1">
      <c r="A50" s="172">
        <f t="shared" ref="A50:A76" si="13">ROW() - 4</f>
        <v>46</v>
      </c>
      <c r="B50" s="172" t="s">
        <v>2557</v>
      </c>
      <c r="C50" s="172" t="s">
        <v>2591</v>
      </c>
      <c r="D50" s="172" t="s">
        <v>2592</v>
      </c>
      <c r="E50" s="172" t="s">
        <v>2177</v>
      </c>
      <c r="F50" s="172" t="s">
        <v>2593</v>
      </c>
      <c r="G50" s="172" t="s">
        <v>2594</v>
      </c>
      <c r="H50" s="172" t="s">
        <v>2595</v>
      </c>
      <c r="I50" s="172" t="s">
        <v>2185</v>
      </c>
      <c r="J50" s="172" t="s">
        <v>2596</v>
      </c>
      <c r="K50" s="172" t="s">
        <v>2597</v>
      </c>
      <c r="L50" s="172" t="s">
        <v>2598</v>
      </c>
      <c r="M50" s="172" t="s">
        <v>2599</v>
      </c>
      <c r="N50" s="172"/>
      <c r="O50" s="172" t="s">
        <v>2600</v>
      </c>
      <c r="P50" s="172" t="s">
        <v>2601</v>
      </c>
      <c r="Q50" s="172" t="s">
        <v>2602</v>
      </c>
      <c r="R50" s="172" t="s">
        <v>2603</v>
      </c>
      <c r="S50" s="172" t="s">
        <v>2604</v>
      </c>
      <c r="T50" s="172"/>
      <c r="U50" s="172" t="s">
        <v>2594</v>
      </c>
      <c r="V50" s="172" t="s">
        <v>2595</v>
      </c>
      <c r="W50" s="172" t="s">
        <v>2605</v>
      </c>
      <c r="X50" s="172" t="s">
        <v>2598</v>
      </c>
      <c r="Y50" s="172" t="s">
        <v>2599</v>
      </c>
      <c r="Z50" s="172"/>
      <c r="AA50" s="172">
        <v>3</v>
      </c>
      <c r="AB50" s="172" t="s">
        <v>2178</v>
      </c>
      <c r="AC50" s="172"/>
      <c r="AD50" s="172">
        <v>1</v>
      </c>
      <c r="AE50" s="172">
        <v>6120</v>
      </c>
      <c r="AF50" s="172">
        <v>6120</v>
      </c>
      <c r="AG50" s="237">
        <v>45778</v>
      </c>
      <c r="AH50" s="239">
        <v>45785</v>
      </c>
      <c r="AI50" s="172" t="s">
        <v>2184</v>
      </c>
      <c r="AJ50" s="239">
        <v>46880</v>
      </c>
      <c r="AK50" s="172" t="s">
        <v>1566</v>
      </c>
      <c r="AL50" s="172" t="s">
        <v>2609</v>
      </c>
      <c r="AM50" s="172">
        <v>45778</v>
      </c>
      <c r="AN50" s="172"/>
      <c r="AO50" s="239">
        <v>45791</v>
      </c>
      <c r="AP50" s="172" t="s">
        <v>2607</v>
      </c>
      <c r="AQ50" s="172" t="s">
        <v>2608</v>
      </c>
      <c r="AR50" s="172"/>
      <c r="AT50" t="s">
        <v>1567</v>
      </c>
      <c r="AU50" s="169">
        <v>6120</v>
      </c>
      <c r="AV50" s="169">
        <v>5400</v>
      </c>
      <c r="AW50">
        <v>208800</v>
      </c>
      <c r="AX50">
        <v>146160</v>
      </c>
      <c r="AZ50" t="s">
        <v>2088</v>
      </c>
    </row>
    <row r="51" spans="1:52" ht="24.75" customHeight="1">
      <c r="A51" s="172">
        <f t="shared" si="13"/>
        <v>47</v>
      </c>
      <c r="B51" s="172" t="s">
        <v>2557</v>
      </c>
      <c r="C51" s="172" t="s">
        <v>2591</v>
      </c>
      <c r="D51" s="172" t="s">
        <v>2592</v>
      </c>
      <c r="E51" s="172" t="s">
        <v>2177</v>
      </c>
      <c r="F51" s="172" t="s">
        <v>2593</v>
      </c>
      <c r="G51" s="172" t="s">
        <v>2594</v>
      </c>
      <c r="H51" s="172" t="s">
        <v>2595</v>
      </c>
      <c r="I51" s="172" t="s">
        <v>2185</v>
      </c>
      <c r="J51" s="172" t="s">
        <v>2596</v>
      </c>
      <c r="K51" s="172" t="s">
        <v>2597</v>
      </c>
      <c r="L51" s="172" t="s">
        <v>2598</v>
      </c>
      <c r="M51" s="172" t="s">
        <v>2599</v>
      </c>
      <c r="N51" s="172"/>
      <c r="O51" s="172" t="s">
        <v>2600</v>
      </c>
      <c r="P51" s="172" t="s">
        <v>2601</v>
      </c>
      <c r="Q51" s="172" t="s">
        <v>2602</v>
      </c>
      <c r="R51" s="172" t="s">
        <v>2603</v>
      </c>
      <c r="S51" s="172" t="s">
        <v>2604</v>
      </c>
      <c r="T51" s="172"/>
      <c r="U51" s="172" t="s">
        <v>2594</v>
      </c>
      <c r="V51" s="172" t="s">
        <v>2595</v>
      </c>
      <c r="W51" s="172" t="s">
        <v>2605</v>
      </c>
      <c r="X51" s="172" t="s">
        <v>2598</v>
      </c>
      <c r="Y51" s="172" t="s">
        <v>2599</v>
      </c>
      <c r="Z51" s="172"/>
      <c r="AA51" s="172">
        <v>3</v>
      </c>
      <c r="AB51" s="172" t="s">
        <v>2178</v>
      </c>
      <c r="AC51" s="172"/>
      <c r="AD51" s="172">
        <v>1</v>
      </c>
      <c r="AE51" s="172">
        <v>6120</v>
      </c>
      <c r="AF51" s="172">
        <v>6120</v>
      </c>
      <c r="AG51" s="237">
        <v>45778</v>
      </c>
      <c r="AH51" s="239">
        <v>45785</v>
      </c>
      <c r="AI51" s="172" t="s">
        <v>2184</v>
      </c>
      <c r="AJ51" s="239">
        <v>46880</v>
      </c>
      <c r="AK51" s="172" t="s">
        <v>1566</v>
      </c>
      <c r="AL51" s="172" t="s">
        <v>2610</v>
      </c>
      <c r="AM51" s="172">
        <v>45778</v>
      </c>
      <c r="AN51" s="172"/>
      <c r="AO51" s="239">
        <v>45791</v>
      </c>
      <c r="AP51" s="172" t="s">
        <v>2607</v>
      </c>
      <c r="AQ51" s="172" t="s">
        <v>2608</v>
      </c>
      <c r="AR51" s="172"/>
      <c r="AT51" t="s">
        <v>1567</v>
      </c>
      <c r="AU51" s="169">
        <v>6120</v>
      </c>
      <c r="AV51" s="169">
        <v>5400</v>
      </c>
      <c r="AW51">
        <v>208800</v>
      </c>
      <c r="AX51">
        <v>146160</v>
      </c>
      <c r="AZ51" t="s">
        <v>2088</v>
      </c>
    </row>
    <row r="52" spans="1:52" ht="24.75" customHeight="1">
      <c r="A52" s="172">
        <f t="shared" si="13"/>
        <v>48</v>
      </c>
      <c r="B52" s="172" t="s">
        <v>2557</v>
      </c>
      <c r="C52" s="172" t="s">
        <v>2591</v>
      </c>
      <c r="D52" s="172" t="s">
        <v>2592</v>
      </c>
      <c r="E52" s="172" t="s">
        <v>2177</v>
      </c>
      <c r="F52" s="172" t="s">
        <v>2593</v>
      </c>
      <c r="G52" s="172" t="s">
        <v>2594</v>
      </c>
      <c r="H52" s="172" t="s">
        <v>2595</v>
      </c>
      <c r="I52" s="172" t="s">
        <v>2185</v>
      </c>
      <c r="J52" s="172" t="s">
        <v>2596</v>
      </c>
      <c r="K52" s="172" t="s">
        <v>2597</v>
      </c>
      <c r="L52" s="172" t="s">
        <v>2598</v>
      </c>
      <c r="M52" s="172" t="s">
        <v>2599</v>
      </c>
      <c r="N52" s="172"/>
      <c r="O52" s="172" t="s">
        <v>2600</v>
      </c>
      <c r="P52" s="172" t="s">
        <v>2601</v>
      </c>
      <c r="Q52" s="172" t="s">
        <v>2602</v>
      </c>
      <c r="R52" s="172" t="s">
        <v>2603</v>
      </c>
      <c r="S52" s="172" t="s">
        <v>2604</v>
      </c>
      <c r="T52" s="172"/>
      <c r="U52" s="172" t="s">
        <v>2594</v>
      </c>
      <c r="V52" s="172" t="s">
        <v>2595</v>
      </c>
      <c r="W52" s="172" t="s">
        <v>2605</v>
      </c>
      <c r="X52" s="172" t="s">
        <v>2598</v>
      </c>
      <c r="Y52" s="172" t="s">
        <v>2599</v>
      </c>
      <c r="Z52" s="172"/>
      <c r="AA52" s="172">
        <v>3</v>
      </c>
      <c r="AB52" s="172" t="s">
        <v>2178</v>
      </c>
      <c r="AC52" s="172"/>
      <c r="AD52" s="172">
        <v>1</v>
      </c>
      <c r="AE52" s="172">
        <v>6120</v>
      </c>
      <c r="AF52" s="172">
        <v>6120</v>
      </c>
      <c r="AG52" s="237">
        <v>45778</v>
      </c>
      <c r="AH52" s="239">
        <v>45785</v>
      </c>
      <c r="AI52" s="172" t="s">
        <v>2184</v>
      </c>
      <c r="AJ52" s="239">
        <v>46880</v>
      </c>
      <c r="AK52" s="172" t="s">
        <v>1566</v>
      </c>
      <c r="AL52" s="172" t="s">
        <v>2611</v>
      </c>
      <c r="AM52" s="172">
        <v>45778</v>
      </c>
      <c r="AN52" s="172"/>
      <c r="AO52" s="239">
        <v>45791</v>
      </c>
      <c r="AP52" s="172" t="s">
        <v>2607</v>
      </c>
      <c r="AQ52" s="172" t="s">
        <v>2608</v>
      </c>
      <c r="AR52" s="172"/>
      <c r="AT52" t="s">
        <v>1567</v>
      </c>
      <c r="AU52" s="169">
        <v>6120</v>
      </c>
      <c r="AV52" s="169">
        <v>5400</v>
      </c>
      <c r="AW52">
        <v>208800</v>
      </c>
      <c r="AX52">
        <v>146160</v>
      </c>
      <c r="AZ52" t="s">
        <v>2088</v>
      </c>
    </row>
    <row r="53" spans="1:52" ht="24.75" customHeight="1">
      <c r="A53" s="172">
        <f t="shared" si="13"/>
        <v>49</v>
      </c>
      <c r="B53" s="172" t="s">
        <v>2557</v>
      </c>
      <c r="C53" s="172" t="s">
        <v>2591</v>
      </c>
      <c r="D53" s="172" t="s">
        <v>2592</v>
      </c>
      <c r="E53" s="172" t="s">
        <v>2177</v>
      </c>
      <c r="F53" s="172" t="s">
        <v>2593</v>
      </c>
      <c r="G53" s="172" t="s">
        <v>2594</v>
      </c>
      <c r="H53" s="172" t="s">
        <v>2595</v>
      </c>
      <c r="I53" s="172" t="s">
        <v>2185</v>
      </c>
      <c r="J53" s="172" t="s">
        <v>2596</v>
      </c>
      <c r="K53" s="172" t="s">
        <v>2597</v>
      </c>
      <c r="L53" s="172" t="s">
        <v>2598</v>
      </c>
      <c r="M53" s="172" t="s">
        <v>2599</v>
      </c>
      <c r="N53" s="172"/>
      <c r="O53" s="172" t="s">
        <v>2600</v>
      </c>
      <c r="P53" s="172" t="s">
        <v>2601</v>
      </c>
      <c r="Q53" s="172" t="s">
        <v>2602</v>
      </c>
      <c r="R53" s="172" t="s">
        <v>2603</v>
      </c>
      <c r="S53" s="172" t="s">
        <v>2604</v>
      </c>
      <c r="T53" s="172"/>
      <c r="U53" s="172" t="s">
        <v>2594</v>
      </c>
      <c r="V53" s="172" t="s">
        <v>2595</v>
      </c>
      <c r="W53" s="172" t="s">
        <v>2605</v>
      </c>
      <c r="X53" s="172" t="s">
        <v>2598</v>
      </c>
      <c r="Y53" s="172" t="s">
        <v>2599</v>
      </c>
      <c r="Z53" s="172"/>
      <c r="AA53" s="172">
        <v>3</v>
      </c>
      <c r="AB53" s="172" t="s">
        <v>2178</v>
      </c>
      <c r="AC53" s="172"/>
      <c r="AD53" s="172">
        <v>1</v>
      </c>
      <c r="AE53" s="172">
        <v>184320</v>
      </c>
      <c r="AF53" s="172">
        <v>184320</v>
      </c>
      <c r="AG53" s="237">
        <v>45778</v>
      </c>
      <c r="AH53" s="239">
        <v>45785</v>
      </c>
      <c r="AI53" s="172" t="s">
        <v>2184</v>
      </c>
      <c r="AJ53" s="239">
        <v>46880</v>
      </c>
      <c r="AK53" s="172" t="s">
        <v>833</v>
      </c>
      <c r="AL53" s="172" t="s">
        <v>2612</v>
      </c>
      <c r="AM53" s="172">
        <v>45778</v>
      </c>
      <c r="AN53" s="172"/>
      <c r="AO53" s="239">
        <v>45791</v>
      </c>
      <c r="AP53" s="172" t="s">
        <v>2607</v>
      </c>
      <c r="AQ53" s="172" t="s">
        <v>2608</v>
      </c>
      <c r="AR53" s="172"/>
      <c r="AT53" t="s">
        <v>834</v>
      </c>
      <c r="AU53" s="169">
        <v>184320</v>
      </c>
      <c r="AV53" s="169">
        <v>124560</v>
      </c>
      <c r="AW53">
        <v>208800</v>
      </c>
      <c r="AX53">
        <v>146160</v>
      </c>
      <c r="AZ53" t="s">
        <v>2608</v>
      </c>
    </row>
    <row r="54" spans="1:52" ht="24.75" customHeight="1">
      <c r="A54" s="172">
        <f t="shared" si="13"/>
        <v>50</v>
      </c>
      <c r="B54" s="172" t="s">
        <v>2613</v>
      </c>
      <c r="C54" s="172" t="s">
        <v>2614</v>
      </c>
      <c r="D54" s="172" t="s">
        <v>2615</v>
      </c>
      <c r="E54" s="172" t="s">
        <v>2177</v>
      </c>
      <c r="F54" s="172" t="s">
        <v>2593</v>
      </c>
      <c r="G54" s="172" t="s">
        <v>2558</v>
      </c>
      <c r="H54" s="172" t="s">
        <v>2616</v>
      </c>
      <c r="I54" s="172" t="s">
        <v>2185</v>
      </c>
      <c r="J54" s="172" t="s">
        <v>2559</v>
      </c>
      <c r="K54" s="172" t="s">
        <v>2560</v>
      </c>
      <c r="L54" s="172" t="s">
        <v>2561</v>
      </c>
      <c r="M54" s="172" t="s">
        <v>2617</v>
      </c>
      <c r="N54" s="172"/>
      <c r="O54" s="172" t="s">
        <v>2562</v>
      </c>
      <c r="P54" s="172" t="s">
        <v>2618</v>
      </c>
      <c r="Q54" s="172" t="s">
        <v>2563</v>
      </c>
      <c r="R54" s="172" t="s">
        <v>2560</v>
      </c>
      <c r="S54" s="172" t="s">
        <v>2617</v>
      </c>
      <c r="T54" s="172"/>
      <c r="U54" s="172" t="s">
        <v>2558</v>
      </c>
      <c r="V54" s="172" t="s">
        <v>2616</v>
      </c>
      <c r="W54" s="172" t="s">
        <v>2564</v>
      </c>
      <c r="X54" s="172" t="s">
        <v>2565</v>
      </c>
      <c r="Y54" s="172" t="s">
        <v>2619</v>
      </c>
      <c r="Z54" s="172"/>
      <c r="AA54" s="172">
        <v>5</v>
      </c>
      <c r="AB54" s="172" t="s">
        <v>2178</v>
      </c>
      <c r="AC54" s="172"/>
      <c r="AD54" s="172">
        <v>1</v>
      </c>
      <c r="AE54" s="172">
        <v>31800</v>
      </c>
      <c r="AF54" s="172">
        <v>31800</v>
      </c>
      <c r="AG54" s="237">
        <v>45779</v>
      </c>
      <c r="AH54" s="239">
        <v>45796</v>
      </c>
      <c r="AI54" s="172" t="s">
        <v>2184</v>
      </c>
      <c r="AJ54" s="239">
        <v>47621</v>
      </c>
      <c r="AK54" s="172" t="s">
        <v>1440</v>
      </c>
      <c r="AL54" s="172" t="s">
        <v>2566</v>
      </c>
      <c r="AM54" s="172">
        <v>45784</v>
      </c>
      <c r="AN54" s="172"/>
      <c r="AO54" s="239"/>
      <c r="AP54" s="172" t="s">
        <v>2620</v>
      </c>
      <c r="AQ54" s="172" t="s">
        <v>2608</v>
      </c>
      <c r="AR54" s="172"/>
      <c r="AT54" t="s">
        <v>1904</v>
      </c>
      <c r="AU54" s="169">
        <v>31800</v>
      </c>
      <c r="AV54" s="169">
        <v>21600</v>
      </c>
      <c r="AW54">
        <v>2547400</v>
      </c>
      <c r="AX54">
        <v>1946880</v>
      </c>
      <c r="AZ54" t="s">
        <v>2088</v>
      </c>
    </row>
    <row r="55" spans="1:52" ht="24.75" customHeight="1">
      <c r="A55" s="172">
        <f t="shared" si="13"/>
        <v>51</v>
      </c>
      <c r="B55" s="172" t="s">
        <v>2613</v>
      </c>
      <c r="C55" s="172" t="s">
        <v>2614</v>
      </c>
      <c r="D55" s="172" t="s">
        <v>2615</v>
      </c>
      <c r="E55" s="172" t="s">
        <v>2177</v>
      </c>
      <c r="F55" s="172" t="s">
        <v>2593</v>
      </c>
      <c r="G55" s="172" t="s">
        <v>2558</v>
      </c>
      <c r="H55" s="172" t="s">
        <v>2616</v>
      </c>
      <c r="I55" s="172" t="s">
        <v>2185</v>
      </c>
      <c r="J55" s="172" t="s">
        <v>2559</v>
      </c>
      <c r="K55" s="172" t="s">
        <v>2560</v>
      </c>
      <c r="L55" s="172" t="s">
        <v>2561</v>
      </c>
      <c r="M55" s="172" t="s">
        <v>2617</v>
      </c>
      <c r="N55" s="172"/>
      <c r="O55" s="172" t="s">
        <v>2562</v>
      </c>
      <c r="P55" s="172" t="s">
        <v>2618</v>
      </c>
      <c r="Q55" s="172" t="s">
        <v>2563</v>
      </c>
      <c r="R55" s="172" t="s">
        <v>2560</v>
      </c>
      <c r="S55" s="172" t="s">
        <v>2617</v>
      </c>
      <c r="T55" s="172"/>
      <c r="U55" s="172" t="s">
        <v>2558</v>
      </c>
      <c r="V55" s="172" t="s">
        <v>2616</v>
      </c>
      <c r="W55" s="172" t="s">
        <v>2564</v>
      </c>
      <c r="X55" s="172" t="s">
        <v>2565</v>
      </c>
      <c r="Y55" s="172" t="s">
        <v>2619</v>
      </c>
      <c r="Z55" s="172"/>
      <c r="AA55" s="172">
        <v>5</v>
      </c>
      <c r="AB55" s="172" t="s">
        <v>2178</v>
      </c>
      <c r="AC55" s="172"/>
      <c r="AD55" s="172">
        <v>1</v>
      </c>
      <c r="AE55" s="172">
        <v>31800</v>
      </c>
      <c r="AF55" s="172">
        <v>31800</v>
      </c>
      <c r="AG55" s="237">
        <v>45780</v>
      </c>
      <c r="AH55" s="239">
        <v>45796</v>
      </c>
      <c r="AI55" s="172" t="s">
        <v>2184</v>
      </c>
      <c r="AJ55" s="239">
        <v>47621</v>
      </c>
      <c r="AK55" s="172" t="s">
        <v>1440</v>
      </c>
      <c r="AL55" s="172" t="s">
        <v>2567</v>
      </c>
      <c r="AM55" s="172">
        <v>45784</v>
      </c>
      <c r="AN55" s="172"/>
      <c r="AO55" s="239"/>
      <c r="AP55" s="172" t="s">
        <v>2620</v>
      </c>
      <c r="AQ55" s="172" t="s">
        <v>2608</v>
      </c>
      <c r="AR55" s="172"/>
      <c r="AT55" t="s">
        <v>1904</v>
      </c>
      <c r="AU55" s="169">
        <v>31800</v>
      </c>
      <c r="AV55" s="169">
        <v>21600</v>
      </c>
      <c r="AW55">
        <v>2547400</v>
      </c>
      <c r="AX55">
        <v>1946880</v>
      </c>
      <c r="AZ55" t="s">
        <v>2088</v>
      </c>
    </row>
    <row r="56" spans="1:52" ht="24.75" customHeight="1">
      <c r="A56" s="172">
        <f t="shared" si="13"/>
        <v>52</v>
      </c>
      <c r="B56" s="172" t="s">
        <v>2613</v>
      </c>
      <c r="C56" s="172" t="s">
        <v>2614</v>
      </c>
      <c r="D56" s="172" t="s">
        <v>2615</v>
      </c>
      <c r="E56" s="172" t="s">
        <v>2177</v>
      </c>
      <c r="F56" s="172" t="s">
        <v>2593</v>
      </c>
      <c r="G56" s="172" t="s">
        <v>2558</v>
      </c>
      <c r="H56" s="172" t="s">
        <v>2616</v>
      </c>
      <c r="I56" s="172" t="s">
        <v>2185</v>
      </c>
      <c r="J56" s="172" t="s">
        <v>2559</v>
      </c>
      <c r="K56" s="172" t="s">
        <v>2560</v>
      </c>
      <c r="L56" s="172" t="s">
        <v>2561</v>
      </c>
      <c r="M56" s="172" t="s">
        <v>2617</v>
      </c>
      <c r="N56" s="172"/>
      <c r="O56" s="172" t="s">
        <v>2562</v>
      </c>
      <c r="P56" s="172" t="s">
        <v>2618</v>
      </c>
      <c r="Q56" s="172" t="s">
        <v>2563</v>
      </c>
      <c r="R56" s="172" t="s">
        <v>2560</v>
      </c>
      <c r="S56" s="172" t="s">
        <v>2617</v>
      </c>
      <c r="T56" s="172"/>
      <c r="U56" s="172" t="s">
        <v>2558</v>
      </c>
      <c r="V56" s="172" t="s">
        <v>2616</v>
      </c>
      <c r="W56" s="172" t="s">
        <v>2564</v>
      </c>
      <c r="X56" s="172" t="s">
        <v>2565</v>
      </c>
      <c r="Y56" s="172" t="s">
        <v>2619</v>
      </c>
      <c r="Z56" s="172"/>
      <c r="AA56" s="172">
        <v>5</v>
      </c>
      <c r="AB56" s="172" t="s">
        <v>2178</v>
      </c>
      <c r="AC56" s="172"/>
      <c r="AD56" s="172">
        <v>1</v>
      </c>
      <c r="AE56" s="172">
        <v>31800</v>
      </c>
      <c r="AF56" s="172">
        <v>31800</v>
      </c>
      <c r="AG56" s="237">
        <v>45781</v>
      </c>
      <c r="AH56" s="239">
        <v>45796</v>
      </c>
      <c r="AI56" s="172" t="s">
        <v>2184</v>
      </c>
      <c r="AJ56" s="239">
        <v>47621</v>
      </c>
      <c r="AK56" s="172" t="s">
        <v>1440</v>
      </c>
      <c r="AL56" s="172" t="s">
        <v>2568</v>
      </c>
      <c r="AM56" s="172">
        <v>45784</v>
      </c>
      <c r="AN56" s="172"/>
      <c r="AO56" s="239"/>
      <c r="AP56" s="172" t="s">
        <v>2620</v>
      </c>
      <c r="AQ56" s="172" t="s">
        <v>2608</v>
      </c>
      <c r="AR56" s="172"/>
      <c r="AT56" t="s">
        <v>1904</v>
      </c>
      <c r="AU56" s="169">
        <v>31800</v>
      </c>
      <c r="AV56" s="169">
        <v>21600</v>
      </c>
      <c r="AW56">
        <v>2547400</v>
      </c>
      <c r="AX56">
        <v>1946880</v>
      </c>
      <c r="AZ56" t="s">
        <v>2088</v>
      </c>
    </row>
    <row r="57" spans="1:52" ht="24.75" customHeight="1">
      <c r="A57" s="172">
        <f t="shared" si="13"/>
        <v>53</v>
      </c>
      <c r="B57" s="172" t="s">
        <v>2613</v>
      </c>
      <c r="C57" s="172" t="s">
        <v>2614</v>
      </c>
      <c r="D57" s="172" t="s">
        <v>2615</v>
      </c>
      <c r="E57" s="172" t="s">
        <v>2177</v>
      </c>
      <c r="F57" s="172" t="s">
        <v>2593</v>
      </c>
      <c r="G57" s="172" t="s">
        <v>2558</v>
      </c>
      <c r="H57" s="172" t="s">
        <v>2616</v>
      </c>
      <c r="I57" s="172" t="s">
        <v>2185</v>
      </c>
      <c r="J57" s="172" t="s">
        <v>2559</v>
      </c>
      <c r="K57" s="172" t="s">
        <v>2560</v>
      </c>
      <c r="L57" s="172" t="s">
        <v>2561</v>
      </c>
      <c r="M57" s="172" t="s">
        <v>2617</v>
      </c>
      <c r="N57" s="172"/>
      <c r="O57" s="172" t="s">
        <v>2562</v>
      </c>
      <c r="P57" s="172" t="s">
        <v>2618</v>
      </c>
      <c r="Q57" s="172" t="s">
        <v>2563</v>
      </c>
      <c r="R57" s="172" t="s">
        <v>2560</v>
      </c>
      <c r="S57" s="172" t="s">
        <v>2617</v>
      </c>
      <c r="T57" s="172"/>
      <c r="U57" s="172" t="s">
        <v>2558</v>
      </c>
      <c r="V57" s="172" t="s">
        <v>2616</v>
      </c>
      <c r="W57" s="172" t="s">
        <v>2564</v>
      </c>
      <c r="X57" s="172" t="s">
        <v>2565</v>
      </c>
      <c r="Y57" s="172" t="s">
        <v>2619</v>
      </c>
      <c r="Z57" s="172"/>
      <c r="AA57" s="172">
        <v>5</v>
      </c>
      <c r="AB57" s="172" t="s">
        <v>2178</v>
      </c>
      <c r="AC57" s="172"/>
      <c r="AD57" s="172">
        <v>1</v>
      </c>
      <c r="AE57" s="172">
        <v>31800</v>
      </c>
      <c r="AF57" s="172">
        <v>31800</v>
      </c>
      <c r="AG57" s="237">
        <v>45782</v>
      </c>
      <c r="AH57" s="239">
        <v>45796</v>
      </c>
      <c r="AI57" s="172" t="s">
        <v>2184</v>
      </c>
      <c r="AJ57" s="239">
        <v>47621</v>
      </c>
      <c r="AK57" s="172" t="s">
        <v>1440</v>
      </c>
      <c r="AL57" s="172" t="s">
        <v>2569</v>
      </c>
      <c r="AM57" s="172">
        <v>45784</v>
      </c>
      <c r="AN57" s="172"/>
      <c r="AO57" s="239"/>
      <c r="AP57" s="172" t="s">
        <v>2620</v>
      </c>
      <c r="AQ57" s="172" t="s">
        <v>2608</v>
      </c>
      <c r="AR57" s="172"/>
      <c r="AT57" t="s">
        <v>1904</v>
      </c>
      <c r="AU57" s="169">
        <v>31800</v>
      </c>
      <c r="AV57" s="169">
        <v>21600</v>
      </c>
      <c r="AW57">
        <v>2547400</v>
      </c>
      <c r="AX57">
        <v>1946880</v>
      </c>
      <c r="AZ57" t="s">
        <v>2088</v>
      </c>
    </row>
    <row r="58" spans="1:52" ht="24.75" customHeight="1">
      <c r="A58" s="172">
        <f t="shared" si="13"/>
        <v>54</v>
      </c>
      <c r="B58" s="172" t="s">
        <v>2613</v>
      </c>
      <c r="C58" s="172" t="s">
        <v>2614</v>
      </c>
      <c r="D58" s="172" t="s">
        <v>2615</v>
      </c>
      <c r="E58" s="172" t="s">
        <v>2177</v>
      </c>
      <c r="F58" s="172" t="s">
        <v>2593</v>
      </c>
      <c r="G58" s="172" t="s">
        <v>2558</v>
      </c>
      <c r="H58" s="172" t="s">
        <v>2616</v>
      </c>
      <c r="I58" s="172" t="s">
        <v>2185</v>
      </c>
      <c r="J58" s="172" t="s">
        <v>2559</v>
      </c>
      <c r="K58" s="172" t="s">
        <v>2560</v>
      </c>
      <c r="L58" s="172" t="s">
        <v>2561</v>
      </c>
      <c r="M58" s="172" t="s">
        <v>2617</v>
      </c>
      <c r="N58" s="172"/>
      <c r="O58" s="172" t="s">
        <v>2562</v>
      </c>
      <c r="P58" s="172" t="s">
        <v>2618</v>
      </c>
      <c r="Q58" s="172" t="s">
        <v>2563</v>
      </c>
      <c r="R58" s="172" t="s">
        <v>2560</v>
      </c>
      <c r="S58" s="172" t="s">
        <v>2617</v>
      </c>
      <c r="T58" s="172"/>
      <c r="U58" s="172" t="s">
        <v>2558</v>
      </c>
      <c r="V58" s="172" t="s">
        <v>2616</v>
      </c>
      <c r="W58" s="172" t="s">
        <v>2564</v>
      </c>
      <c r="X58" s="172" t="s">
        <v>2565</v>
      </c>
      <c r="Y58" s="172" t="s">
        <v>2619</v>
      </c>
      <c r="Z58" s="172"/>
      <c r="AA58" s="172">
        <v>5</v>
      </c>
      <c r="AB58" s="172" t="s">
        <v>2178</v>
      </c>
      <c r="AC58" s="172"/>
      <c r="AD58" s="172">
        <v>1</v>
      </c>
      <c r="AE58" s="172">
        <v>60000</v>
      </c>
      <c r="AF58" s="172">
        <v>60000</v>
      </c>
      <c r="AG58" s="237">
        <v>45783</v>
      </c>
      <c r="AH58" s="239">
        <v>45796</v>
      </c>
      <c r="AI58" s="172" t="s">
        <v>2184</v>
      </c>
      <c r="AJ58" s="239">
        <v>47621</v>
      </c>
      <c r="AK58" s="172" t="s">
        <v>1493</v>
      </c>
      <c r="AL58" s="172" t="s">
        <v>2570</v>
      </c>
      <c r="AM58" s="172">
        <v>45784</v>
      </c>
      <c r="AN58" s="172"/>
      <c r="AO58" s="239"/>
      <c r="AP58" s="172" t="s">
        <v>2620</v>
      </c>
      <c r="AQ58" s="172" t="s">
        <v>2608</v>
      </c>
      <c r="AR58" s="172"/>
      <c r="AT58" t="s">
        <v>1925</v>
      </c>
      <c r="AU58" s="169">
        <v>60000</v>
      </c>
      <c r="AV58" s="169">
        <v>40200</v>
      </c>
      <c r="AW58">
        <v>2547400</v>
      </c>
      <c r="AX58">
        <v>1946880</v>
      </c>
      <c r="AZ58" t="s">
        <v>2088</v>
      </c>
    </row>
    <row r="59" spans="1:52" ht="24.75" customHeight="1">
      <c r="A59" s="172">
        <f t="shared" si="13"/>
        <v>55</v>
      </c>
      <c r="B59" s="172" t="s">
        <v>2613</v>
      </c>
      <c r="C59" s="172" t="s">
        <v>2614</v>
      </c>
      <c r="D59" s="172" t="s">
        <v>2615</v>
      </c>
      <c r="E59" s="172" t="s">
        <v>2177</v>
      </c>
      <c r="F59" s="172" t="s">
        <v>2593</v>
      </c>
      <c r="G59" s="172" t="s">
        <v>2558</v>
      </c>
      <c r="H59" s="172" t="s">
        <v>2616</v>
      </c>
      <c r="I59" s="172" t="s">
        <v>2185</v>
      </c>
      <c r="J59" s="172" t="s">
        <v>2559</v>
      </c>
      <c r="K59" s="172" t="s">
        <v>2560</v>
      </c>
      <c r="L59" s="172" t="s">
        <v>2561</v>
      </c>
      <c r="M59" s="172" t="s">
        <v>2617</v>
      </c>
      <c r="N59" s="172"/>
      <c r="O59" s="172" t="s">
        <v>2562</v>
      </c>
      <c r="P59" s="172" t="s">
        <v>2618</v>
      </c>
      <c r="Q59" s="172" t="s">
        <v>2563</v>
      </c>
      <c r="R59" s="172" t="s">
        <v>2560</v>
      </c>
      <c r="S59" s="172" t="s">
        <v>2617</v>
      </c>
      <c r="T59" s="172"/>
      <c r="U59" s="172" t="s">
        <v>2558</v>
      </c>
      <c r="V59" s="172" t="s">
        <v>2616</v>
      </c>
      <c r="W59" s="172" t="s">
        <v>2564</v>
      </c>
      <c r="X59" s="172" t="s">
        <v>2565</v>
      </c>
      <c r="Y59" s="172" t="s">
        <v>2619</v>
      </c>
      <c r="Z59" s="172"/>
      <c r="AA59" s="172">
        <v>5</v>
      </c>
      <c r="AB59" s="172" t="s">
        <v>2178</v>
      </c>
      <c r="AC59" s="172"/>
      <c r="AD59" s="172">
        <v>1</v>
      </c>
      <c r="AE59" s="172">
        <v>60000</v>
      </c>
      <c r="AF59" s="172">
        <v>60000</v>
      </c>
      <c r="AG59" s="237">
        <v>45784</v>
      </c>
      <c r="AH59" s="239">
        <v>45796</v>
      </c>
      <c r="AI59" s="172" t="s">
        <v>2184</v>
      </c>
      <c r="AJ59" s="239">
        <v>47621</v>
      </c>
      <c r="AK59" s="172" t="s">
        <v>1493</v>
      </c>
      <c r="AL59" s="172" t="s">
        <v>2571</v>
      </c>
      <c r="AM59" s="172">
        <v>45784</v>
      </c>
      <c r="AN59" s="172"/>
      <c r="AO59" s="239"/>
      <c r="AP59" s="172" t="s">
        <v>2620</v>
      </c>
      <c r="AQ59" s="172" t="s">
        <v>2608</v>
      </c>
      <c r="AR59" s="172"/>
      <c r="AT59" t="s">
        <v>1925</v>
      </c>
      <c r="AU59" s="169">
        <v>60000</v>
      </c>
      <c r="AV59" s="169">
        <v>40200</v>
      </c>
      <c r="AW59">
        <v>2547400</v>
      </c>
      <c r="AX59">
        <v>1946880</v>
      </c>
      <c r="AZ59" t="s">
        <v>2088</v>
      </c>
    </row>
    <row r="60" spans="1:52" ht="24.75" customHeight="1">
      <c r="A60" s="172">
        <f t="shared" si="13"/>
        <v>56</v>
      </c>
      <c r="B60" s="172" t="s">
        <v>2613</v>
      </c>
      <c r="C60" s="172" t="s">
        <v>2614</v>
      </c>
      <c r="D60" s="172" t="s">
        <v>2615</v>
      </c>
      <c r="E60" s="172" t="s">
        <v>2177</v>
      </c>
      <c r="F60" s="172" t="s">
        <v>2593</v>
      </c>
      <c r="G60" s="172" t="s">
        <v>2558</v>
      </c>
      <c r="H60" s="172" t="s">
        <v>2616</v>
      </c>
      <c r="I60" s="172" t="s">
        <v>2185</v>
      </c>
      <c r="J60" s="172" t="s">
        <v>2559</v>
      </c>
      <c r="K60" s="172" t="s">
        <v>2560</v>
      </c>
      <c r="L60" s="172" t="s">
        <v>2561</v>
      </c>
      <c r="M60" s="172" t="s">
        <v>2617</v>
      </c>
      <c r="N60" s="172"/>
      <c r="O60" s="172" t="s">
        <v>2562</v>
      </c>
      <c r="P60" s="172" t="s">
        <v>2618</v>
      </c>
      <c r="Q60" s="172" t="s">
        <v>2563</v>
      </c>
      <c r="R60" s="172" t="s">
        <v>2560</v>
      </c>
      <c r="S60" s="172" t="s">
        <v>2617</v>
      </c>
      <c r="T60" s="172"/>
      <c r="U60" s="172" t="s">
        <v>2558</v>
      </c>
      <c r="V60" s="172" t="s">
        <v>2616</v>
      </c>
      <c r="W60" s="172" t="s">
        <v>2564</v>
      </c>
      <c r="X60" s="172" t="s">
        <v>2565</v>
      </c>
      <c r="Y60" s="172" t="s">
        <v>2619</v>
      </c>
      <c r="Z60" s="172"/>
      <c r="AA60" s="172">
        <v>5</v>
      </c>
      <c r="AB60" s="172" t="s">
        <v>2178</v>
      </c>
      <c r="AC60" s="172"/>
      <c r="AD60" s="172">
        <v>1</v>
      </c>
      <c r="AE60" s="172">
        <v>60000</v>
      </c>
      <c r="AF60" s="172">
        <v>60000</v>
      </c>
      <c r="AG60" s="237">
        <v>45785</v>
      </c>
      <c r="AH60" s="239">
        <v>45796</v>
      </c>
      <c r="AI60" s="172" t="s">
        <v>2184</v>
      </c>
      <c r="AJ60" s="239">
        <v>47621</v>
      </c>
      <c r="AK60" s="172" t="s">
        <v>1493</v>
      </c>
      <c r="AL60" s="172" t="s">
        <v>2572</v>
      </c>
      <c r="AM60" s="172">
        <v>45784</v>
      </c>
      <c r="AN60" s="172"/>
      <c r="AO60" s="239"/>
      <c r="AP60" s="172" t="s">
        <v>2620</v>
      </c>
      <c r="AQ60" s="172" t="s">
        <v>2608</v>
      </c>
      <c r="AR60" s="172"/>
      <c r="AT60" t="s">
        <v>1925</v>
      </c>
      <c r="AU60" s="169">
        <v>60000</v>
      </c>
      <c r="AV60" s="169">
        <v>40200</v>
      </c>
      <c r="AW60">
        <v>2547400</v>
      </c>
      <c r="AX60">
        <v>1946880</v>
      </c>
      <c r="AZ60" t="s">
        <v>2088</v>
      </c>
    </row>
    <row r="61" spans="1:52" ht="24.75" customHeight="1">
      <c r="A61" s="172">
        <f t="shared" si="13"/>
        <v>57</v>
      </c>
      <c r="B61" s="172" t="s">
        <v>2613</v>
      </c>
      <c r="C61" s="172" t="s">
        <v>2614</v>
      </c>
      <c r="D61" s="172" t="s">
        <v>2615</v>
      </c>
      <c r="E61" s="172" t="s">
        <v>2177</v>
      </c>
      <c r="F61" s="172" t="s">
        <v>2593</v>
      </c>
      <c r="G61" s="172" t="s">
        <v>2558</v>
      </c>
      <c r="H61" s="172" t="s">
        <v>2616</v>
      </c>
      <c r="I61" s="172" t="s">
        <v>2185</v>
      </c>
      <c r="J61" s="172" t="s">
        <v>2559</v>
      </c>
      <c r="K61" s="172" t="s">
        <v>2560</v>
      </c>
      <c r="L61" s="172" t="s">
        <v>2561</v>
      </c>
      <c r="M61" s="172" t="s">
        <v>2617</v>
      </c>
      <c r="N61" s="172"/>
      <c r="O61" s="172" t="s">
        <v>2562</v>
      </c>
      <c r="P61" s="172" t="s">
        <v>2618</v>
      </c>
      <c r="Q61" s="172" t="s">
        <v>2563</v>
      </c>
      <c r="R61" s="172" t="s">
        <v>2560</v>
      </c>
      <c r="S61" s="172" t="s">
        <v>2617</v>
      </c>
      <c r="T61" s="172"/>
      <c r="U61" s="172" t="s">
        <v>2558</v>
      </c>
      <c r="V61" s="172" t="s">
        <v>2616</v>
      </c>
      <c r="W61" s="172" t="s">
        <v>2564</v>
      </c>
      <c r="X61" s="172" t="s">
        <v>2565</v>
      </c>
      <c r="Y61" s="172" t="s">
        <v>2619</v>
      </c>
      <c r="Z61" s="172"/>
      <c r="AA61" s="172">
        <v>5</v>
      </c>
      <c r="AB61" s="172" t="s">
        <v>2178</v>
      </c>
      <c r="AC61" s="172"/>
      <c r="AD61" s="172">
        <v>1</v>
      </c>
      <c r="AE61" s="172">
        <v>60000</v>
      </c>
      <c r="AF61" s="172">
        <v>60000</v>
      </c>
      <c r="AG61" s="237">
        <v>45786</v>
      </c>
      <c r="AH61" s="239">
        <v>45796</v>
      </c>
      <c r="AI61" s="172" t="s">
        <v>2184</v>
      </c>
      <c r="AJ61" s="239">
        <v>47621</v>
      </c>
      <c r="AK61" s="172" t="s">
        <v>1493</v>
      </c>
      <c r="AL61" s="172" t="s">
        <v>2573</v>
      </c>
      <c r="AM61" s="172">
        <v>45784</v>
      </c>
      <c r="AN61" s="172"/>
      <c r="AO61" s="239"/>
      <c r="AP61" s="172" t="s">
        <v>2620</v>
      </c>
      <c r="AQ61" s="172" t="s">
        <v>2608</v>
      </c>
      <c r="AR61" s="172"/>
      <c r="AT61" t="s">
        <v>1925</v>
      </c>
      <c r="AU61" s="169">
        <v>60000</v>
      </c>
      <c r="AV61" s="169">
        <v>40200</v>
      </c>
      <c r="AW61">
        <v>2547400</v>
      </c>
      <c r="AX61">
        <v>1946880</v>
      </c>
      <c r="AZ61" t="s">
        <v>2088</v>
      </c>
    </row>
    <row r="62" spans="1:52" ht="24.75" customHeight="1">
      <c r="A62" s="172">
        <f t="shared" si="13"/>
        <v>58</v>
      </c>
      <c r="B62" s="172" t="s">
        <v>2613</v>
      </c>
      <c r="C62" s="172" t="s">
        <v>2614</v>
      </c>
      <c r="D62" s="172" t="s">
        <v>2615</v>
      </c>
      <c r="E62" s="172" t="s">
        <v>2177</v>
      </c>
      <c r="F62" s="172" t="s">
        <v>2593</v>
      </c>
      <c r="G62" s="172" t="s">
        <v>2558</v>
      </c>
      <c r="H62" s="172" t="s">
        <v>2616</v>
      </c>
      <c r="I62" s="172" t="s">
        <v>2185</v>
      </c>
      <c r="J62" s="172" t="s">
        <v>2559</v>
      </c>
      <c r="K62" s="172" t="s">
        <v>2560</v>
      </c>
      <c r="L62" s="172" t="s">
        <v>2561</v>
      </c>
      <c r="M62" s="172" t="s">
        <v>2617</v>
      </c>
      <c r="N62" s="172"/>
      <c r="O62" s="172" t="s">
        <v>2562</v>
      </c>
      <c r="P62" s="172" t="s">
        <v>2618</v>
      </c>
      <c r="Q62" s="172" t="s">
        <v>2563</v>
      </c>
      <c r="R62" s="172" t="s">
        <v>2560</v>
      </c>
      <c r="S62" s="172" t="s">
        <v>2617</v>
      </c>
      <c r="T62" s="172"/>
      <c r="U62" s="172" t="s">
        <v>2558</v>
      </c>
      <c r="V62" s="172" t="s">
        <v>2616</v>
      </c>
      <c r="W62" s="172" t="s">
        <v>2564</v>
      </c>
      <c r="X62" s="172" t="s">
        <v>2565</v>
      </c>
      <c r="Y62" s="172" t="s">
        <v>2619</v>
      </c>
      <c r="Z62" s="172"/>
      <c r="AA62" s="172">
        <v>5</v>
      </c>
      <c r="AB62" s="172" t="s">
        <v>2178</v>
      </c>
      <c r="AC62" s="172"/>
      <c r="AD62" s="172">
        <v>1</v>
      </c>
      <c r="AE62" s="172">
        <v>60000</v>
      </c>
      <c r="AF62" s="172">
        <v>60000</v>
      </c>
      <c r="AG62" s="237">
        <v>45787</v>
      </c>
      <c r="AH62" s="239">
        <v>45796</v>
      </c>
      <c r="AI62" s="172" t="s">
        <v>2184</v>
      </c>
      <c r="AJ62" s="239">
        <v>47621</v>
      </c>
      <c r="AK62" s="172" t="s">
        <v>1493</v>
      </c>
      <c r="AL62" s="172" t="s">
        <v>2574</v>
      </c>
      <c r="AM62" s="172">
        <v>45784</v>
      </c>
      <c r="AN62" s="172"/>
      <c r="AO62" s="239"/>
      <c r="AP62" s="172" t="s">
        <v>2620</v>
      </c>
      <c r="AQ62" s="172" t="s">
        <v>2608</v>
      </c>
      <c r="AR62" s="172"/>
      <c r="AT62" t="s">
        <v>1925</v>
      </c>
      <c r="AU62" s="169">
        <v>60000</v>
      </c>
      <c r="AV62" s="169">
        <v>40200</v>
      </c>
      <c r="AW62">
        <v>2547400</v>
      </c>
      <c r="AX62">
        <v>1946880</v>
      </c>
      <c r="AZ62" t="s">
        <v>2088</v>
      </c>
    </row>
    <row r="63" spans="1:52" ht="24.75" customHeight="1">
      <c r="A63" s="172">
        <f t="shared" si="13"/>
        <v>59</v>
      </c>
      <c r="B63" s="172" t="s">
        <v>2613</v>
      </c>
      <c r="C63" s="172" t="s">
        <v>2614</v>
      </c>
      <c r="D63" s="172" t="s">
        <v>2615</v>
      </c>
      <c r="E63" s="172" t="s">
        <v>2177</v>
      </c>
      <c r="F63" s="172" t="s">
        <v>2593</v>
      </c>
      <c r="G63" s="172" t="s">
        <v>2558</v>
      </c>
      <c r="H63" s="172" t="s">
        <v>2616</v>
      </c>
      <c r="I63" s="172" t="s">
        <v>2185</v>
      </c>
      <c r="J63" s="172" t="s">
        <v>2559</v>
      </c>
      <c r="K63" s="172" t="s">
        <v>2560</v>
      </c>
      <c r="L63" s="172" t="s">
        <v>2561</v>
      </c>
      <c r="M63" s="172" t="s">
        <v>2617</v>
      </c>
      <c r="N63" s="172"/>
      <c r="O63" s="172" t="s">
        <v>2562</v>
      </c>
      <c r="P63" s="172" t="s">
        <v>2618</v>
      </c>
      <c r="Q63" s="172" t="s">
        <v>2563</v>
      </c>
      <c r="R63" s="172" t="s">
        <v>2560</v>
      </c>
      <c r="S63" s="172" t="s">
        <v>2617</v>
      </c>
      <c r="T63" s="172"/>
      <c r="U63" s="172" t="s">
        <v>2558</v>
      </c>
      <c r="V63" s="172" t="s">
        <v>2616</v>
      </c>
      <c r="W63" s="172" t="s">
        <v>2564</v>
      </c>
      <c r="X63" s="172" t="s">
        <v>2565</v>
      </c>
      <c r="Y63" s="172" t="s">
        <v>2619</v>
      </c>
      <c r="Z63" s="172"/>
      <c r="AA63" s="172">
        <v>5</v>
      </c>
      <c r="AB63" s="172" t="s">
        <v>2178</v>
      </c>
      <c r="AC63" s="172"/>
      <c r="AD63" s="172">
        <v>1</v>
      </c>
      <c r="AE63" s="172">
        <v>60000</v>
      </c>
      <c r="AF63" s="172">
        <v>60000</v>
      </c>
      <c r="AG63" s="237">
        <v>45788</v>
      </c>
      <c r="AH63" s="239">
        <v>45796</v>
      </c>
      <c r="AI63" s="172" t="s">
        <v>2184</v>
      </c>
      <c r="AJ63" s="239">
        <v>47621</v>
      </c>
      <c r="AK63" s="172" t="s">
        <v>1493</v>
      </c>
      <c r="AL63" s="172" t="s">
        <v>2575</v>
      </c>
      <c r="AM63" s="172">
        <v>45784</v>
      </c>
      <c r="AN63" s="172"/>
      <c r="AO63" s="239"/>
      <c r="AP63" s="172" t="s">
        <v>2620</v>
      </c>
      <c r="AQ63" s="172" t="s">
        <v>2608</v>
      </c>
      <c r="AR63" s="172"/>
      <c r="AT63" t="s">
        <v>1925</v>
      </c>
      <c r="AU63" s="169">
        <v>60000</v>
      </c>
      <c r="AV63" s="169">
        <v>40200</v>
      </c>
      <c r="AW63">
        <v>2547400</v>
      </c>
      <c r="AX63">
        <v>1946880</v>
      </c>
      <c r="AZ63" t="s">
        <v>2088</v>
      </c>
    </row>
    <row r="64" spans="1:52" ht="24.75" customHeight="1">
      <c r="A64" s="172">
        <f t="shared" si="13"/>
        <v>60</v>
      </c>
      <c r="B64" s="172" t="s">
        <v>2613</v>
      </c>
      <c r="C64" s="172" t="s">
        <v>2614</v>
      </c>
      <c r="D64" s="172" t="s">
        <v>2615</v>
      </c>
      <c r="E64" s="172" t="s">
        <v>2177</v>
      </c>
      <c r="F64" s="172" t="s">
        <v>2593</v>
      </c>
      <c r="G64" s="172" t="s">
        <v>2558</v>
      </c>
      <c r="H64" s="172" t="s">
        <v>2616</v>
      </c>
      <c r="I64" s="172" t="s">
        <v>2185</v>
      </c>
      <c r="J64" s="172" t="s">
        <v>2559</v>
      </c>
      <c r="K64" s="172" t="s">
        <v>2560</v>
      </c>
      <c r="L64" s="172" t="s">
        <v>2561</v>
      </c>
      <c r="M64" s="172" t="s">
        <v>2617</v>
      </c>
      <c r="N64" s="172"/>
      <c r="O64" s="172" t="s">
        <v>2562</v>
      </c>
      <c r="P64" s="172" t="s">
        <v>2618</v>
      </c>
      <c r="Q64" s="172" t="s">
        <v>2563</v>
      </c>
      <c r="R64" s="172" t="s">
        <v>2560</v>
      </c>
      <c r="S64" s="172" t="s">
        <v>2617</v>
      </c>
      <c r="T64" s="172"/>
      <c r="U64" s="172" t="s">
        <v>2558</v>
      </c>
      <c r="V64" s="172" t="s">
        <v>2616</v>
      </c>
      <c r="W64" s="172" t="s">
        <v>2564</v>
      </c>
      <c r="X64" s="172" t="s">
        <v>2565</v>
      </c>
      <c r="Y64" s="172" t="s">
        <v>2619</v>
      </c>
      <c r="Z64" s="172"/>
      <c r="AA64" s="172">
        <v>5</v>
      </c>
      <c r="AB64" s="172" t="s">
        <v>2178</v>
      </c>
      <c r="AC64" s="172"/>
      <c r="AD64" s="172">
        <v>1</v>
      </c>
      <c r="AE64" s="172">
        <v>60000</v>
      </c>
      <c r="AF64" s="172">
        <v>60000</v>
      </c>
      <c r="AG64" s="237">
        <v>45789</v>
      </c>
      <c r="AH64" s="239">
        <v>45796</v>
      </c>
      <c r="AI64" s="172" t="s">
        <v>2184</v>
      </c>
      <c r="AJ64" s="239">
        <v>47621</v>
      </c>
      <c r="AK64" s="172" t="s">
        <v>1493</v>
      </c>
      <c r="AL64" s="172" t="s">
        <v>2576</v>
      </c>
      <c r="AM64" s="172">
        <v>45784</v>
      </c>
      <c r="AN64" s="172"/>
      <c r="AO64" s="239"/>
      <c r="AP64" s="172" t="s">
        <v>2620</v>
      </c>
      <c r="AQ64" s="172" t="s">
        <v>2608</v>
      </c>
      <c r="AR64" s="172"/>
      <c r="AT64" t="s">
        <v>1925</v>
      </c>
      <c r="AU64" s="169">
        <v>60000</v>
      </c>
      <c r="AV64" s="169">
        <v>40200</v>
      </c>
      <c r="AW64">
        <v>2547400</v>
      </c>
      <c r="AX64">
        <v>1946880</v>
      </c>
      <c r="AZ64" t="s">
        <v>2088</v>
      </c>
    </row>
    <row r="65" spans="1:52" ht="24.75" customHeight="1">
      <c r="A65" s="172">
        <f t="shared" si="13"/>
        <v>61</v>
      </c>
      <c r="B65" s="172" t="s">
        <v>2613</v>
      </c>
      <c r="C65" s="172" t="s">
        <v>2614</v>
      </c>
      <c r="D65" s="172" t="s">
        <v>2615</v>
      </c>
      <c r="E65" s="172" t="s">
        <v>2177</v>
      </c>
      <c r="F65" s="172" t="s">
        <v>2593</v>
      </c>
      <c r="G65" s="172" t="s">
        <v>2558</v>
      </c>
      <c r="H65" s="172" t="s">
        <v>2616</v>
      </c>
      <c r="I65" s="172" t="s">
        <v>2185</v>
      </c>
      <c r="J65" s="172" t="s">
        <v>2559</v>
      </c>
      <c r="K65" s="172" t="s">
        <v>2560</v>
      </c>
      <c r="L65" s="172" t="s">
        <v>2561</v>
      </c>
      <c r="M65" s="172" t="s">
        <v>2617</v>
      </c>
      <c r="N65" s="172"/>
      <c r="O65" s="172" t="s">
        <v>2562</v>
      </c>
      <c r="P65" s="172" t="s">
        <v>2618</v>
      </c>
      <c r="Q65" s="172" t="s">
        <v>2563</v>
      </c>
      <c r="R65" s="172" t="s">
        <v>2560</v>
      </c>
      <c r="S65" s="172" t="s">
        <v>2617</v>
      </c>
      <c r="T65" s="172"/>
      <c r="U65" s="172" t="s">
        <v>2558</v>
      </c>
      <c r="V65" s="172" t="s">
        <v>2616</v>
      </c>
      <c r="W65" s="172" t="s">
        <v>2564</v>
      </c>
      <c r="X65" s="172" t="s">
        <v>2565</v>
      </c>
      <c r="Y65" s="172" t="s">
        <v>2619</v>
      </c>
      <c r="Z65" s="172"/>
      <c r="AA65" s="172">
        <v>5</v>
      </c>
      <c r="AB65" s="172" t="s">
        <v>2178</v>
      </c>
      <c r="AC65" s="172"/>
      <c r="AD65" s="172">
        <v>1</v>
      </c>
      <c r="AE65" s="172">
        <v>60000</v>
      </c>
      <c r="AF65" s="172">
        <v>60000</v>
      </c>
      <c r="AG65" s="237">
        <v>45790</v>
      </c>
      <c r="AH65" s="239">
        <v>45796</v>
      </c>
      <c r="AI65" s="172" t="s">
        <v>2184</v>
      </c>
      <c r="AJ65" s="239">
        <v>47621</v>
      </c>
      <c r="AK65" s="172" t="s">
        <v>1493</v>
      </c>
      <c r="AL65" s="172" t="s">
        <v>2577</v>
      </c>
      <c r="AM65" s="172">
        <v>45784</v>
      </c>
      <c r="AN65" s="172"/>
      <c r="AO65" s="239"/>
      <c r="AP65" s="172" t="s">
        <v>2620</v>
      </c>
      <c r="AQ65" s="172" t="s">
        <v>2608</v>
      </c>
      <c r="AR65" s="172"/>
      <c r="AT65" t="s">
        <v>1925</v>
      </c>
      <c r="AU65" s="169">
        <v>60000</v>
      </c>
      <c r="AV65" s="169">
        <v>40200</v>
      </c>
      <c r="AW65">
        <v>2547400</v>
      </c>
      <c r="AX65">
        <v>1946880</v>
      </c>
      <c r="AZ65" t="s">
        <v>2088</v>
      </c>
    </row>
    <row r="66" spans="1:52" ht="24.75" customHeight="1">
      <c r="A66" s="172">
        <f t="shared" si="13"/>
        <v>62</v>
      </c>
      <c r="B66" s="172" t="s">
        <v>2613</v>
      </c>
      <c r="C66" s="172" t="s">
        <v>2614</v>
      </c>
      <c r="D66" s="172" t="s">
        <v>2615</v>
      </c>
      <c r="E66" s="172" t="s">
        <v>2177</v>
      </c>
      <c r="F66" s="172" t="s">
        <v>2593</v>
      </c>
      <c r="G66" s="172" t="s">
        <v>2558</v>
      </c>
      <c r="H66" s="172" t="s">
        <v>2616</v>
      </c>
      <c r="I66" s="172" t="s">
        <v>2185</v>
      </c>
      <c r="J66" s="172" t="s">
        <v>2559</v>
      </c>
      <c r="K66" s="172" t="s">
        <v>2560</v>
      </c>
      <c r="L66" s="172" t="s">
        <v>2561</v>
      </c>
      <c r="M66" s="172" t="s">
        <v>2617</v>
      </c>
      <c r="N66" s="172"/>
      <c r="O66" s="172" t="s">
        <v>2562</v>
      </c>
      <c r="P66" s="172" t="s">
        <v>2618</v>
      </c>
      <c r="Q66" s="172" t="s">
        <v>2563</v>
      </c>
      <c r="R66" s="172" t="s">
        <v>2560</v>
      </c>
      <c r="S66" s="172" t="s">
        <v>2617</v>
      </c>
      <c r="T66" s="172"/>
      <c r="U66" s="172" t="s">
        <v>2558</v>
      </c>
      <c r="V66" s="172" t="s">
        <v>2616</v>
      </c>
      <c r="W66" s="172" t="s">
        <v>2564</v>
      </c>
      <c r="X66" s="172" t="s">
        <v>2565</v>
      </c>
      <c r="Y66" s="172" t="s">
        <v>2619</v>
      </c>
      <c r="Z66" s="172"/>
      <c r="AA66" s="172">
        <v>5</v>
      </c>
      <c r="AB66" s="172" t="s">
        <v>2178</v>
      </c>
      <c r="AC66" s="172"/>
      <c r="AD66" s="172">
        <v>1</v>
      </c>
      <c r="AE66" s="172">
        <v>60000</v>
      </c>
      <c r="AF66" s="172">
        <v>60000</v>
      </c>
      <c r="AG66" s="237">
        <v>45791</v>
      </c>
      <c r="AH66" s="239">
        <v>45796</v>
      </c>
      <c r="AI66" s="172" t="s">
        <v>2184</v>
      </c>
      <c r="AJ66" s="239">
        <v>47621</v>
      </c>
      <c r="AK66" s="172" t="s">
        <v>1493</v>
      </c>
      <c r="AL66" s="172" t="s">
        <v>2578</v>
      </c>
      <c r="AM66" s="172">
        <v>45784</v>
      </c>
      <c r="AN66" s="172"/>
      <c r="AO66" s="239"/>
      <c r="AP66" s="172" t="s">
        <v>2620</v>
      </c>
      <c r="AQ66" s="172" t="s">
        <v>2608</v>
      </c>
      <c r="AR66" s="172"/>
      <c r="AT66" t="s">
        <v>1925</v>
      </c>
      <c r="AU66" s="169">
        <v>60000</v>
      </c>
      <c r="AV66" s="169">
        <v>40200</v>
      </c>
      <c r="AW66">
        <v>2547400</v>
      </c>
      <c r="AX66">
        <v>1946880</v>
      </c>
      <c r="AZ66" t="s">
        <v>2088</v>
      </c>
    </row>
    <row r="67" spans="1:52" ht="24.75" customHeight="1">
      <c r="A67" s="172">
        <f t="shared" si="13"/>
        <v>63</v>
      </c>
      <c r="B67" s="172" t="s">
        <v>2613</v>
      </c>
      <c r="C67" s="172" t="s">
        <v>2614</v>
      </c>
      <c r="D67" s="172" t="s">
        <v>2615</v>
      </c>
      <c r="E67" s="172" t="s">
        <v>2177</v>
      </c>
      <c r="F67" s="172" t="s">
        <v>2593</v>
      </c>
      <c r="G67" s="172" t="s">
        <v>2558</v>
      </c>
      <c r="H67" s="172" t="s">
        <v>2616</v>
      </c>
      <c r="I67" s="172" t="s">
        <v>2185</v>
      </c>
      <c r="J67" s="172" t="s">
        <v>2559</v>
      </c>
      <c r="K67" s="172" t="s">
        <v>2560</v>
      </c>
      <c r="L67" s="172" t="s">
        <v>2561</v>
      </c>
      <c r="M67" s="172" t="s">
        <v>2617</v>
      </c>
      <c r="N67" s="172"/>
      <c r="O67" s="172" t="s">
        <v>2562</v>
      </c>
      <c r="P67" s="172" t="s">
        <v>2618</v>
      </c>
      <c r="Q67" s="172" t="s">
        <v>2563</v>
      </c>
      <c r="R67" s="172" t="s">
        <v>2560</v>
      </c>
      <c r="S67" s="172" t="s">
        <v>2617</v>
      </c>
      <c r="T67" s="172"/>
      <c r="U67" s="172" t="s">
        <v>2558</v>
      </c>
      <c r="V67" s="172" t="s">
        <v>2616</v>
      </c>
      <c r="W67" s="172" t="s">
        <v>2564</v>
      </c>
      <c r="X67" s="172" t="s">
        <v>2565</v>
      </c>
      <c r="Y67" s="172" t="s">
        <v>2619</v>
      </c>
      <c r="Z67" s="172"/>
      <c r="AA67" s="172">
        <v>5</v>
      </c>
      <c r="AB67" s="172" t="s">
        <v>2178</v>
      </c>
      <c r="AC67" s="172"/>
      <c r="AD67" s="172">
        <v>1</v>
      </c>
      <c r="AE67" s="172">
        <v>60000</v>
      </c>
      <c r="AF67" s="172">
        <v>60000</v>
      </c>
      <c r="AG67" s="237">
        <v>45792</v>
      </c>
      <c r="AH67" s="239">
        <v>45796</v>
      </c>
      <c r="AI67" s="172" t="s">
        <v>2184</v>
      </c>
      <c r="AJ67" s="239">
        <v>47621</v>
      </c>
      <c r="AK67" s="172" t="s">
        <v>1493</v>
      </c>
      <c r="AL67" s="172" t="s">
        <v>2579</v>
      </c>
      <c r="AM67" s="172">
        <v>45784</v>
      </c>
      <c r="AN67" s="172"/>
      <c r="AO67" s="239"/>
      <c r="AP67" s="172" t="s">
        <v>2620</v>
      </c>
      <c r="AQ67" s="172" t="s">
        <v>2608</v>
      </c>
      <c r="AR67" s="172"/>
      <c r="AT67" t="s">
        <v>1925</v>
      </c>
      <c r="AU67" s="169">
        <v>60000</v>
      </c>
      <c r="AV67" s="169">
        <v>40200</v>
      </c>
      <c r="AW67">
        <v>2547400</v>
      </c>
      <c r="AX67">
        <v>1946880</v>
      </c>
      <c r="AZ67" t="s">
        <v>2088</v>
      </c>
    </row>
    <row r="68" spans="1:52" ht="24.75" customHeight="1">
      <c r="A68" s="172">
        <f t="shared" si="13"/>
        <v>64</v>
      </c>
      <c r="B68" s="172" t="s">
        <v>2613</v>
      </c>
      <c r="C68" s="172" t="s">
        <v>2614</v>
      </c>
      <c r="D68" s="172" t="s">
        <v>2615</v>
      </c>
      <c r="E68" s="172" t="s">
        <v>2177</v>
      </c>
      <c r="F68" s="172" t="s">
        <v>2593</v>
      </c>
      <c r="G68" s="172" t="s">
        <v>2558</v>
      </c>
      <c r="H68" s="172" t="s">
        <v>2616</v>
      </c>
      <c r="I68" s="172" t="s">
        <v>2185</v>
      </c>
      <c r="J68" s="172" t="s">
        <v>2559</v>
      </c>
      <c r="K68" s="172" t="s">
        <v>2560</v>
      </c>
      <c r="L68" s="172" t="s">
        <v>2561</v>
      </c>
      <c r="M68" s="172" t="s">
        <v>2617</v>
      </c>
      <c r="N68" s="172"/>
      <c r="O68" s="172" t="s">
        <v>2562</v>
      </c>
      <c r="P68" s="172" t="s">
        <v>2618</v>
      </c>
      <c r="Q68" s="172" t="s">
        <v>2563</v>
      </c>
      <c r="R68" s="172" t="s">
        <v>2560</v>
      </c>
      <c r="S68" s="172" t="s">
        <v>2617</v>
      </c>
      <c r="T68" s="172"/>
      <c r="U68" s="172" t="s">
        <v>2558</v>
      </c>
      <c r="V68" s="172" t="s">
        <v>2616</v>
      </c>
      <c r="W68" s="172" t="s">
        <v>2564</v>
      </c>
      <c r="X68" s="172" t="s">
        <v>2565</v>
      </c>
      <c r="Y68" s="172" t="s">
        <v>2619</v>
      </c>
      <c r="Z68" s="172"/>
      <c r="AA68" s="172">
        <v>5</v>
      </c>
      <c r="AB68" s="172" t="s">
        <v>2178</v>
      </c>
      <c r="AC68" s="172"/>
      <c r="AD68" s="172">
        <v>1</v>
      </c>
      <c r="AE68" s="172">
        <v>388200</v>
      </c>
      <c r="AF68" s="172">
        <v>388200</v>
      </c>
      <c r="AG68" s="237">
        <v>45793</v>
      </c>
      <c r="AH68" s="239">
        <v>45796</v>
      </c>
      <c r="AI68" s="172" t="s">
        <v>2184</v>
      </c>
      <c r="AJ68" s="239">
        <v>47621</v>
      </c>
      <c r="AK68" s="172" t="s">
        <v>2621</v>
      </c>
      <c r="AL68" s="172" t="s">
        <v>2580</v>
      </c>
      <c r="AM68" s="172">
        <v>45784</v>
      </c>
      <c r="AN68" s="172" t="s">
        <v>2622</v>
      </c>
      <c r="AO68" s="239"/>
      <c r="AP68" s="172" t="s">
        <v>2620</v>
      </c>
      <c r="AQ68" s="172">
        <v>46710</v>
      </c>
      <c r="AR68" s="172" t="s">
        <v>2623</v>
      </c>
      <c r="AT68" t="s">
        <v>2624</v>
      </c>
      <c r="AU68" s="169">
        <v>388200</v>
      </c>
      <c r="AV68" s="169">
        <v>318000</v>
      </c>
      <c r="AW68">
        <v>2547400</v>
      </c>
      <c r="AX68">
        <v>1946880</v>
      </c>
      <c r="AZ68" t="s">
        <v>2608</v>
      </c>
    </row>
    <row r="69" spans="1:52" ht="24.75" customHeight="1">
      <c r="A69" s="172">
        <f t="shared" si="13"/>
        <v>65</v>
      </c>
      <c r="B69" s="172" t="s">
        <v>2613</v>
      </c>
      <c r="C69" s="172" t="s">
        <v>2614</v>
      </c>
      <c r="D69" s="172" t="s">
        <v>2615</v>
      </c>
      <c r="E69" s="172" t="s">
        <v>2177</v>
      </c>
      <c r="F69" s="172" t="s">
        <v>2593</v>
      </c>
      <c r="G69" s="172" t="s">
        <v>2558</v>
      </c>
      <c r="H69" s="172" t="s">
        <v>2616</v>
      </c>
      <c r="I69" s="172" t="s">
        <v>2185</v>
      </c>
      <c r="J69" s="172" t="s">
        <v>2559</v>
      </c>
      <c r="K69" s="172" t="s">
        <v>2560</v>
      </c>
      <c r="L69" s="172" t="s">
        <v>2561</v>
      </c>
      <c r="M69" s="172" t="s">
        <v>2617</v>
      </c>
      <c r="N69" s="172"/>
      <c r="O69" s="172" t="s">
        <v>2562</v>
      </c>
      <c r="P69" s="172" t="s">
        <v>2618</v>
      </c>
      <c r="Q69" s="172" t="s">
        <v>2563</v>
      </c>
      <c r="R69" s="172" t="s">
        <v>2560</v>
      </c>
      <c r="S69" s="172" t="s">
        <v>2617</v>
      </c>
      <c r="T69" s="172"/>
      <c r="U69" s="172" t="s">
        <v>2558</v>
      </c>
      <c r="V69" s="172" t="s">
        <v>2616</v>
      </c>
      <c r="W69" s="172" t="s">
        <v>2564</v>
      </c>
      <c r="X69" s="172" t="s">
        <v>2565</v>
      </c>
      <c r="Y69" s="172" t="s">
        <v>2619</v>
      </c>
      <c r="Z69" s="172"/>
      <c r="AA69" s="172">
        <v>5</v>
      </c>
      <c r="AB69" s="172" t="s">
        <v>2178</v>
      </c>
      <c r="AC69" s="172"/>
      <c r="AD69" s="172">
        <v>1</v>
      </c>
      <c r="AE69" s="172">
        <v>179000</v>
      </c>
      <c r="AF69" s="172">
        <v>179000</v>
      </c>
      <c r="AG69" s="237">
        <v>45794</v>
      </c>
      <c r="AH69" s="239">
        <v>45796</v>
      </c>
      <c r="AI69" s="172" t="s">
        <v>2184</v>
      </c>
      <c r="AJ69" s="239">
        <v>47621</v>
      </c>
      <c r="AK69" s="172" t="s">
        <v>2625</v>
      </c>
      <c r="AL69" s="172" t="s">
        <v>2581</v>
      </c>
      <c r="AM69" s="172">
        <v>45784</v>
      </c>
      <c r="AN69" s="172"/>
      <c r="AO69" s="239"/>
      <c r="AP69" s="172" t="s">
        <v>2620</v>
      </c>
      <c r="AQ69" s="172" t="s">
        <v>2608</v>
      </c>
      <c r="AR69" s="172"/>
      <c r="AT69" t="s">
        <v>2626</v>
      </c>
      <c r="AU69" s="169">
        <v>179000</v>
      </c>
      <c r="AV69" s="169">
        <v>142560</v>
      </c>
      <c r="AW69">
        <v>2547400</v>
      </c>
      <c r="AX69">
        <v>1946880</v>
      </c>
      <c r="AZ69" t="s">
        <v>2608</v>
      </c>
    </row>
    <row r="70" spans="1:52" ht="24.75" customHeight="1">
      <c r="A70" s="172">
        <f t="shared" si="13"/>
        <v>66</v>
      </c>
      <c r="B70" s="172" t="s">
        <v>2613</v>
      </c>
      <c r="C70" s="172" t="s">
        <v>2614</v>
      </c>
      <c r="D70" s="172" t="s">
        <v>2615</v>
      </c>
      <c r="E70" s="172" t="s">
        <v>2177</v>
      </c>
      <c r="F70" s="172" t="s">
        <v>2593</v>
      </c>
      <c r="G70" s="172" t="s">
        <v>2558</v>
      </c>
      <c r="H70" s="172" t="s">
        <v>2616</v>
      </c>
      <c r="I70" s="172" t="s">
        <v>2185</v>
      </c>
      <c r="J70" s="172" t="s">
        <v>2559</v>
      </c>
      <c r="K70" s="172" t="s">
        <v>2560</v>
      </c>
      <c r="L70" s="172" t="s">
        <v>2561</v>
      </c>
      <c r="M70" s="172" t="s">
        <v>2617</v>
      </c>
      <c r="N70" s="172"/>
      <c r="O70" s="172" t="s">
        <v>2562</v>
      </c>
      <c r="P70" s="172" t="s">
        <v>2618</v>
      </c>
      <c r="Q70" s="172" t="s">
        <v>2563</v>
      </c>
      <c r="R70" s="172" t="s">
        <v>2560</v>
      </c>
      <c r="S70" s="172" t="s">
        <v>2617</v>
      </c>
      <c r="T70" s="172"/>
      <c r="U70" s="172" t="s">
        <v>2558</v>
      </c>
      <c r="V70" s="172" t="s">
        <v>2616</v>
      </c>
      <c r="W70" s="172" t="s">
        <v>2564</v>
      </c>
      <c r="X70" s="172" t="s">
        <v>2565</v>
      </c>
      <c r="Y70" s="172" t="s">
        <v>2619</v>
      </c>
      <c r="Z70" s="172"/>
      <c r="AA70" s="172">
        <v>5</v>
      </c>
      <c r="AB70" s="172" t="s">
        <v>2178</v>
      </c>
      <c r="AC70" s="172"/>
      <c r="AD70" s="172">
        <v>1</v>
      </c>
      <c r="AE70" s="172">
        <v>179000</v>
      </c>
      <c r="AF70" s="172">
        <v>179000</v>
      </c>
      <c r="AG70" s="237">
        <v>45795</v>
      </c>
      <c r="AH70" s="239">
        <v>45796</v>
      </c>
      <c r="AI70" s="172" t="s">
        <v>2184</v>
      </c>
      <c r="AJ70" s="239">
        <v>47621</v>
      </c>
      <c r="AK70" s="172" t="s">
        <v>2625</v>
      </c>
      <c r="AL70" s="172" t="s">
        <v>2582</v>
      </c>
      <c r="AM70" s="172">
        <v>45784</v>
      </c>
      <c r="AN70" s="172"/>
      <c r="AO70" s="239"/>
      <c r="AP70" s="172" t="s">
        <v>2620</v>
      </c>
      <c r="AQ70" s="172" t="s">
        <v>2608</v>
      </c>
      <c r="AR70" s="172"/>
      <c r="AT70" t="s">
        <v>2626</v>
      </c>
      <c r="AU70" s="169">
        <v>179000</v>
      </c>
      <c r="AV70" s="169">
        <v>142560</v>
      </c>
      <c r="AW70">
        <v>2547400</v>
      </c>
      <c r="AX70">
        <v>1946880</v>
      </c>
      <c r="AZ70" t="s">
        <v>2608</v>
      </c>
    </row>
    <row r="71" spans="1:52" ht="24.75" customHeight="1">
      <c r="A71" s="172">
        <f t="shared" si="13"/>
        <v>67</v>
      </c>
      <c r="B71" s="172" t="s">
        <v>2613</v>
      </c>
      <c r="C71" s="172" t="s">
        <v>2614</v>
      </c>
      <c r="D71" s="172" t="s">
        <v>2615</v>
      </c>
      <c r="E71" s="172" t="s">
        <v>2177</v>
      </c>
      <c r="F71" s="172" t="s">
        <v>2593</v>
      </c>
      <c r="G71" s="172" t="s">
        <v>2558</v>
      </c>
      <c r="H71" s="172" t="s">
        <v>2616</v>
      </c>
      <c r="I71" s="172" t="s">
        <v>2185</v>
      </c>
      <c r="J71" s="172" t="s">
        <v>2559</v>
      </c>
      <c r="K71" s="172" t="s">
        <v>2560</v>
      </c>
      <c r="L71" s="172" t="s">
        <v>2561</v>
      </c>
      <c r="M71" s="172" t="s">
        <v>2617</v>
      </c>
      <c r="N71" s="172"/>
      <c r="O71" s="172" t="s">
        <v>2562</v>
      </c>
      <c r="P71" s="172" t="s">
        <v>2618</v>
      </c>
      <c r="Q71" s="172" t="s">
        <v>2563</v>
      </c>
      <c r="R71" s="172" t="s">
        <v>2560</v>
      </c>
      <c r="S71" s="172" t="s">
        <v>2617</v>
      </c>
      <c r="T71" s="172"/>
      <c r="U71" s="172" t="s">
        <v>2558</v>
      </c>
      <c r="V71" s="172" t="s">
        <v>2616</v>
      </c>
      <c r="W71" s="172" t="s">
        <v>2564</v>
      </c>
      <c r="X71" s="172" t="s">
        <v>2565</v>
      </c>
      <c r="Y71" s="172" t="s">
        <v>2619</v>
      </c>
      <c r="Z71" s="172"/>
      <c r="AA71" s="172">
        <v>5</v>
      </c>
      <c r="AB71" s="172" t="s">
        <v>2178</v>
      </c>
      <c r="AC71" s="172"/>
      <c r="AD71" s="172">
        <v>1</v>
      </c>
      <c r="AE71" s="172">
        <v>179000</v>
      </c>
      <c r="AF71" s="172">
        <v>179000</v>
      </c>
      <c r="AG71" s="237">
        <v>45796</v>
      </c>
      <c r="AH71" s="239">
        <v>45796</v>
      </c>
      <c r="AI71" s="172" t="s">
        <v>2184</v>
      </c>
      <c r="AJ71" s="239">
        <v>47621</v>
      </c>
      <c r="AK71" s="172" t="s">
        <v>2625</v>
      </c>
      <c r="AL71" s="172" t="s">
        <v>2583</v>
      </c>
      <c r="AM71" s="172">
        <v>45784</v>
      </c>
      <c r="AN71" s="172"/>
      <c r="AO71" s="239"/>
      <c r="AP71" s="172" t="s">
        <v>2620</v>
      </c>
      <c r="AQ71" s="172" t="s">
        <v>2608</v>
      </c>
      <c r="AR71" s="172"/>
      <c r="AT71" t="s">
        <v>2626</v>
      </c>
      <c r="AU71" s="169">
        <v>179000</v>
      </c>
      <c r="AV71" s="169">
        <v>142560</v>
      </c>
      <c r="AW71">
        <v>2547400</v>
      </c>
      <c r="AX71">
        <v>1946880</v>
      </c>
      <c r="AZ71" t="s">
        <v>2608</v>
      </c>
    </row>
    <row r="72" spans="1:52" ht="24.75" customHeight="1">
      <c r="A72" s="172">
        <f t="shared" si="13"/>
        <v>68</v>
      </c>
      <c r="B72" s="172" t="s">
        <v>2613</v>
      </c>
      <c r="C72" s="172" t="s">
        <v>2614</v>
      </c>
      <c r="D72" s="172" t="s">
        <v>2615</v>
      </c>
      <c r="E72" s="172" t="s">
        <v>2177</v>
      </c>
      <c r="F72" s="172" t="s">
        <v>2593</v>
      </c>
      <c r="G72" s="172" t="s">
        <v>2558</v>
      </c>
      <c r="H72" s="172" t="s">
        <v>2616</v>
      </c>
      <c r="I72" s="172" t="s">
        <v>2185</v>
      </c>
      <c r="J72" s="172" t="s">
        <v>2559</v>
      </c>
      <c r="K72" s="172" t="s">
        <v>2560</v>
      </c>
      <c r="L72" s="172" t="s">
        <v>2561</v>
      </c>
      <c r="M72" s="172" t="s">
        <v>2617</v>
      </c>
      <c r="N72" s="172"/>
      <c r="O72" s="172" t="s">
        <v>2562</v>
      </c>
      <c r="P72" s="172" t="s">
        <v>2618</v>
      </c>
      <c r="Q72" s="172" t="s">
        <v>2563</v>
      </c>
      <c r="R72" s="172" t="s">
        <v>2560</v>
      </c>
      <c r="S72" s="172" t="s">
        <v>2617</v>
      </c>
      <c r="T72" s="172"/>
      <c r="U72" s="172" t="s">
        <v>2558</v>
      </c>
      <c r="V72" s="172" t="s">
        <v>2616</v>
      </c>
      <c r="W72" s="172" t="s">
        <v>2564</v>
      </c>
      <c r="X72" s="172" t="s">
        <v>2565</v>
      </c>
      <c r="Y72" s="172" t="s">
        <v>2619</v>
      </c>
      <c r="Z72" s="172"/>
      <c r="AA72" s="172">
        <v>5</v>
      </c>
      <c r="AB72" s="172" t="s">
        <v>2178</v>
      </c>
      <c r="AC72" s="172"/>
      <c r="AD72" s="172">
        <v>1</v>
      </c>
      <c r="AE72" s="172">
        <v>179000</v>
      </c>
      <c r="AF72" s="172">
        <v>179000</v>
      </c>
      <c r="AG72" s="172">
        <v>45797</v>
      </c>
      <c r="AH72" s="172">
        <v>45796</v>
      </c>
      <c r="AI72" s="172" t="s">
        <v>2184</v>
      </c>
      <c r="AJ72" s="172">
        <v>47621</v>
      </c>
      <c r="AK72" s="172" t="s">
        <v>2625</v>
      </c>
      <c r="AL72" s="172" t="s">
        <v>2584</v>
      </c>
      <c r="AM72" s="172">
        <v>45784</v>
      </c>
      <c r="AN72" s="172"/>
      <c r="AO72" s="172"/>
      <c r="AP72" s="172" t="s">
        <v>2620</v>
      </c>
      <c r="AQ72" s="172" t="s">
        <v>2608</v>
      </c>
      <c r="AR72" s="172"/>
      <c r="AT72" t="s">
        <v>2626</v>
      </c>
      <c r="AU72">
        <v>179000</v>
      </c>
      <c r="AV72">
        <v>142560</v>
      </c>
      <c r="AW72">
        <v>2547400</v>
      </c>
      <c r="AX72">
        <v>1946880</v>
      </c>
      <c r="AZ72" t="s">
        <v>2608</v>
      </c>
    </row>
    <row r="73" spans="1:52" ht="24.75" customHeight="1">
      <c r="A73" s="172">
        <f t="shared" si="13"/>
        <v>69</v>
      </c>
      <c r="B73" s="172" t="s">
        <v>2613</v>
      </c>
      <c r="C73" s="172" t="s">
        <v>2614</v>
      </c>
      <c r="D73" s="172" t="s">
        <v>2615</v>
      </c>
      <c r="E73" s="172" t="s">
        <v>2177</v>
      </c>
      <c r="F73" s="172" t="s">
        <v>2593</v>
      </c>
      <c r="G73" s="172" t="s">
        <v>2558</v>
      </c>
      <c r="H73" s="172" t="s">
        <v>2616</v>
      </c>
      <c r="I73" s="172" t="s">
        <v>2185</v>
      </c>
      <c r="J73" s="172" t="s">
        <v>2559</v>
      </c>
      <c r="K73" s="172" t="s">
        <v>2560</v>
      </c>
      <c r="L73" s="172" t="s">
        <v>2561</v>
      </c>
      <c r="M73" s="172" t="s">
        <v>2617</v>
      </c>
      <c r="N73" s="172"/>
      <c r="O73" s="172" t="s">
        <v>2562</v>
      </c>
      <c r="P73" s="172" t="s">
        <v>2618</v>
      </c>
      <c r="Q73" s="172" t="s">
        <v>2563</v>
      </c>
      <c r="R73" s="172" t="s">
        <v>2560</v>
      </c>
      <c r="S73" s="172" t="s">
        <v>2617</v>
      </c>
      <c r="T73" s="172"/>
      <c r="U73" s="172" t="s">
        <v>2558</v>
      </c>
      <c r="V73" s="172" t="s">
        <v>2616</v>
      </c>
      <c r="W73" s="172" t="s">
        <v>2564</v>
      </c>
      <c r="X73" s="172" t="s">
        <v>2565</v>
      </c>
      <c r="Y73" s="172" t="s">
        <v>2619</v>
      </c>
      <c r="Z73" s="172"/>
      <c r="AA73" s="172">
        <v>5</v>
      </c>
      <c r="AB73" s="172" t="s">
        <v>2178</v>
      </c>
      <c r="AC73" s="172"/>
      <c r="AD73" s="172">
        <v>1</v>
      </c>
      <c r="AE73" s="172">
        <v>179000</v>
      </c>
      <c r="AF73" s="172">
        <v>179000</v>
      </c>
      <c r="AG73" s="172">
        <v>45798</v>
      </c>
      <c r="AH73" s="172">
        <v>45796</v>
      </c>
      <c r="AI73" s="172" t="s">
        <v>2184</v>
      </c>
      <c r="AJ73" s="172">
        <v>47621</v>
      </c>
      <c r="AK73" s="172" t="s">
        <v>2625</v>
      </c>
      <c r="AL73" s="172" t="s">
        <v>2585</v>
      </c>
      <c r="AM73" s="172">
        <v>45784</v>
      </c>
      <c r="AN73" s="172"/>
      <c r="AO73" s="172"/>
      <c r="AP73" s="172" t="s">
        <v>2620</v>
      </c>
      <c r="AQ73" s="172" t="s">
        <v>2608</v>
      </c>
      <c r="AR73" s="172"/>
      <c r="AT73" t="s">
        <v>2626</v>
      </c>
      <c r="AU73">
        <v>179000</v>
      </c>
      <c r="AV73">
        <v>142560</v>
      </c>
      <c r="AW73">
        <v>2547400</v>
      </c>
      <c r="AX73">
        <v>1946880</v>
      </c>
      <c r="AZ73" t="s">
        <v>2608</v>
      </c>
    </row>
    <row r="74" spans="1:52" ht="24.75" customHeight="1">
      <c r="A74" s="172">
        <f t="shared" si="13"/>
        <v>70</v>
      </c>
      <c r="B74" s="172" t="s">
        <v>2613</v>
      </c>
      <c r="C74" s="172" t="s">
        <v>2614</v>
      </c>
      <c r="D74" s="172" t="s">
        <v>2615</v>
      </c>
      <c r="E74" s="172" t="s">
        <v>2177</v>
      </c>
      <c r="F74" s="172" t="s">
        <v>2593</v>
      </c>
      <c r="G74" s="172" t="s">
        <v>2558</v>
      </c>
      <c r="H74" s="172" t="s">
        <v>2616</v>
      </c>
      <c r="I74" s="172" t="s">
        <v>2185</v>
      </c>
      <c r="J74" s="172" t="s">
        <v>2559</v>
      </c>
      <c r="K74" s="172" t="s">
        <v>2560</v>
      </c>
      <c r="L74" s="172" t="s">
        <v>2561</v>
      </c>
      <c r="M74" s="172" t="s">
        <v>2617</v>
      </c>
      <c r="N74" s="172"/>
      <c r="O74" s="172" t="s">
        <v>2562</v>
      </c>
      <c r="P74" s="172" t="s">
        <v>2618</v>
      </c>
      <c r="Q74" s="172" t="s">
        <v>2563</v>
      </c>
      <c r="R74" s="172" t="s">
        <v>2560</v>
      </c>
      <c r="S74" s="172" t="s">
        <v>2617</v>
      </c>
      <c r="T74" s="172"/>
      <c r="U74" s="172" t="s">
        <v>2558</v>
      </c>
      <c r="V74" s="172" t="s">
        <v>2616</v>
      </c>
      <c r="W74" s="172" t="s">
        <v>2564</v>
      </c>
      <c r="X74" s="172" t="s">
        <v>2565</v>
      </c>
      <c r="Y74" s="172" t="s">
        <v>2619</v>
      </c>
      <c r="Z74" s="172"/>
      <c r="AA74" s="172">
        <v>5</v>
      </c>
      <c r="AB74" s="172" t="s">
        <v>2178</v>
      </c>
      <c r="AC74" s="172"/>
      <c r="AD74" s="172">
        <v>1</v>
      </c>
      <c r="AE74" s="172">
        <v>179000</v>
      </c>
      <c r="AF74" s="172">
        <v>179000</v>
      </c>
      <c r="AG74" s="172">
        <v>45799</v>
      </c>
      <c r="AH74" s="172">
        <v>45796</v>
      </c>
      <c r="AI74" s="172" t="s">
        <v>2184</v>
      </c>
      <c r="AJ74" s="172">
        <v>47621</v>
      </c>
      <c r="AK74" s="172" t="s">
        <v>2625</v>
      </c>
      <c r="AL74" s="172" t="s">
        <v>2586</v>
      </c>
      <c r="AM74" s="172">
        <v>45784</v>
      </c>
      <c r="AN74" s="172"/>
      <c r="AO74" s="172"/>
      <c r="AP74" s="172" t="s">
        <v>2620</v>
      </c>
      <c r="AQ74" s="172" t="s">
        <v>2608</v>
      </c>
      <c r="AR74" s="172"/>
      <c r="AT74" t="s">
        <v>2626</v>
      </c>
      <c r="AU74">
        <v>179000</v>
      </c>
      <c r="AV74">
        <v>142560</v>
      </c>
      <c r="AW74">
        <v>2547400</v>
      </c>
      <c r="AX74">
        <v>1946880</v>
      </c>
      <c r="AZ74" t="s">
        <v>2608</v>
      </c>
    </row>
    <row r="75" spans="1:52" ht="24.75" customHeight="1">
      <c r="A75" s="172">
        <f t="shared" si="13"/>
        <v>71</v>
      </c>
      <c r="B75" s="172" t="s">
        <v>2613</v>
      </c>
      <c r="C75" s="172" t="s">
        <v>2614</v>
      </c>
      <c r="D75" s="172" t="s">
        <v>2615</v>
      </c>
      <c r="E75" s="172" t="s">
        <v>2177</v>
      </c>
      <c r="F75" s="172" t="s">
        <v>2593</v>
      </c>
      <c r="G75" s="172" t="s">
        <v>2558</v>
      </c>
      <c r="H75" s="172" t="s">
        <v>2616</v>
      </c>
      <c r="I75" s="172" t="s">
        <v>2185</v>
      </c>
      <c r="J75" s="172" t="s">
        <v>2559</v>
      </c>
      <c r="K75" s="172" t="s">
        <v>2560</v>
      </c>
      <c r="L75" s="172" t="s">
        <v>2561</v>
      </c>
      <c r="M75" s="172" t="s">
        <v>2617</v>
      </c>
      <c r="N75" s="172"/>
      <c r="O75" s="172" t="s">
        <v>2562</v>
      </c>
      <c r="P75" s="172" t="s">
        <v>2618</v>
      </c>
      <c r="Q75" s="172" t="s">
        <v>2563</v>
      </c>
      <c r="R75" s="172" t="s">
        <v>2560</v>
      </c>
      <c r="S75" s="172" t="s">
        <v>2617</v>
      </c>
      <c r="T75" s="172"/>
      <c r="U75" s="172" t="s">
        <v>2558</v>
      </c>
      <c r="V75" s="172" t="s">
        <v>2616</v>
      </c>
      <c r="W75" s="172" t="s">
        <v>2564</v>
      </c>
      <c r="X75" s="172" t="s">
        <v>2565</v>
      </c>
      <c r="Y75" s="172" t="s">
        <v>2619</v>
      </c>
      <c r="Z75" s="172"/>
      <c r="AA75" s="172">
        <v>5</v>
      </c>
      <c r="AB75" s="172" t="s">
        <v>2178</v>
      </c>
      <c r="AC75" s="172"/>
      <c r="AD75" s="172">
        <v>1</v>
      </c>
      <c r="AE75" s="172">
        <v>179000</v>
      </c>
      <c r="AF75" s="172">
        <v>179000</v>
      </c>
      <c r="AG75" s="172">
        <v>45800</v>
      </c>
      <c r="AH75" s="172">
        <v>45796</v>
      </c>
      <c r="AI75" s="172" t="s">
        <v>2184</v>
      </c>
      <c r="AJ75" s="172">
        <v>47621</v>
      </c>
      <c r="AK75" s="172" t="s">
        <v>2625</v>
      </c>
      <c r="AL75" s="172" t="s">
        <v>2587</v>
      </c>
      <c r="AM75" s="172">
        <v>45784</v>
      </c>
      <c r="AN75" s="172"/>
      <c r="AO75" s="172"/>
      <c r="AP75" s="172" t="s">
        <v>2620</v>
      </c>
      <c r="AQ75" s="172" t="s">
        <v>2608</v>
      </c>
      <c r="AR75" s="172"/>
      <c r="AT75" t="s">
        <v>2626</v>
      </c>
      <c r="AU75">
        <v>179000</v>
      </c>
      <c r="AV75">
        <v>142560</v>
      </c>
      <c r="AW75">
        <v>2547400</v>
      </c>
      <c r="AX75">
        <v>1946880</v>
      </c>
      <c r="AZ75" t="s">
        <v>2608</v>
      </c>
    </row>
    <row r="76" spans="1:52" ht="24.75" customHeight="1">
      <c r="A76" s="172">
        <f t="shared" si="13"/>
        <v>72</v>
      </c>
      <c r="B76" s="172" t="s">
        <v>2613</v>
      </c>
      <c r="C76" s="172" t="s">
        <v>2614</v>
      </c>
      <c r="D76" s="172" t="s">
        <v>2615</v>
      </c>
      <c r="E76" s="172" t="s">
        <v>2177</v>
      </c>
      <c r="F76" s="172" t="s">
        <v>2593</v>
      </c>
      <c r="G76" s="172" t="s">
        <v>2558</v>
      </c>
      <c r="H76" s="172" t="s">
        <v>2616</v>
      </c>
      <c r="I76" s="172" t="s">
        <v>2185</v>
      </c>
      <c r="J76" s="172" t="s">
        <v>2559</v>
      </c>
      <c r="K76" s="172" t="s">
        <v>2560</v>
      </c>
      <c r="L76" s="172" t="s">
        <v>2561</v>
      </c>
      <c r="M76" s="172" t="s">
        <v>2617</v>
      </c>
      <c r="N76" s="172"/>
      <c r="O76" s="172" t="s">
        <v>2562</v>
      </c>
      <c r="P76" s="172" t="s">
        <v>2618</v>
      </c>
      <c r="Q76" s="172" t="s">
        <v>2563</v>
      </c>
      <c r="R76" s="172" t="s">
        <v>2560</v>
      </c>
      <c r="S76" s="172" t="s">
        <v>2617</v>
      </c>
      <c r="T76" s="172"/>
      <c r="U76" s="172" t="s">
        <v>2558</v>
      </c>
      <c r="V76" s="172" t="s">
        <v>2616</v>
      </c>
      <c r="W76" s="172" t="s">
        <v>2564</v>
      </c>
      <c r="X76" s="172" t="s">
        <v>2565</v>
      </c>
      <c r="Y76" s="172" t="s">
        <v>2619</v>
      </c>
      <c r="Z76" s="172"/>
      <c r="AA76" s="172">
        <v>5</v>
      </c>
      <c r="AB76" s="172" t="s">
        <v>2178</v>
      </c>
      <c r="AC76" s="172"/>
      <c r="AD76" s="172">
        <v>1</v>
      </c>
      <c r="AE76" s="172">
        <v>179000</v>
      </c>
      <c r="AF76" s="172">
        <v>179000</v>
      </c>
      <c r="AG76" s="172">
        <v>45801</v>
      </c>
      <c r="AH76" s="172">
        <v>45796</v>
      </c>
      <c r="AI76" s="172" t="s">
        <v>2184</v>
      </c>
      <c r="AJ76" s="172">
        <v>47621</v>
      </c>
      <c r="AK76" s="172" t="s">
        <v>2625</v>
      </c>
      <c r="AL76" s="172" t="s">
        <v>2588</v>
      </c>
      <c r="AM76" s="172">
        <v>45784</v>
      </c>
      <c r="AN76" s="172"/>
      <c r="AO76" s="172"/>
      <c r="AP76" s="172" t="s">
        <v>2620</v>
      </c>
      <c r="AQ76" s="172" t="s">
        <v>2608</v>
      </c>
      <c r="AR76" s="172"/>
      <c r="AT76" t="s">
        <v>2626</v>
      </c>
      <c r="AU76">
        <v>179000</v>
      </c>
      <c r="AV76">
        <v>142560</v>
      </c>
      <c r="AW76">
        <v>2547400</v>
      </c>
      <c r="AX76">
        <v>1946880</v>
      </c>
      <c r="AZ76" t="s">
        <v>2608</v>
      </c>
    </row>
  </sheetData>
  <dataConsolidate/>
  <mergeCells count="10">
    <mergeCell ref="AH3:AJ3"/>
    <mergeCell ref="AP3:AP4"/>
    <mergeCell ref="AQ3:AQ4"/>
    <mergeCell ref="AR3:AR4"/>
    <mergeCell ref="C3:D3"/>
    <mergeCell ref="E3:F3"/>
    <mergeCell ref="G3:N3"/>
    <mergeCell ref="O3:T3"/>
    <mergeCell ref="U3:Z3"/>
    <mergeCell ref="AA3:AC3"/>
  </mergeCells>
  <phoneticPr fontId="7"/>
  <conditionalFormatting sqref="AG5:AG71">
    <cfRule type="expression" dxfId="29" priority="34">
      <formula>$C5="センドバックで使用"</formula>
    </cfRule>
  </conditionalFormatting>
  <conditionalFormatting sqref="AW5:AX8">
    <cfRule type="expression" dxfId="28" priority="62" stopIfTrue="1">
      <formula>$B5=$B6</formula>
    </cfRule>
    <cfRule type="expression" dxfId="27" priority="63" stopIfTrue="1">
      <formula>$B5=$B6</formula>
    </cfRule>
  </conditionalFormatting>
  <conditionalFormatting sqref="AW5:AX48">
    <cfRule type="expression" dxfId="26" priority="64" stopIfTrue="1">
      <formula>$B5=$B6</formula>
    </cfRule>
    <cfRule type="expression" dxfId="25" priority="65" stopIfTrue="1">
      <formula>$B5=$B6</formula>
    </cfRule>
  </conditionalFormatting>
  <conditionalFormatting sqref="AW5:AX71">
    <cfRule type="expression" dxfId="24" priority="66" stopIfTrue="1">
      <formula>$B5=$B6</formula>
    </cfRule>
  </conditionalFormatting>
  <printOptions horizontalCentered="1"/>
  <pageMargins left="0" right="0" top="0.59055118110236227" bottom="0.39370078740157483" header="0.51181102362204722" footer="0.51181102362204722"/>
  <pageSetup paperSize="8" scale="20" fitToHeight="0" orientation="landscape"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4E4F5-0A05-471C-8EDF-EB1043830A81}">
  <sheetPr codeName="Sheet3">
    <tabColor indexed="44"/>
    <pageSetUpPr fitToPage="1"/>
  </sheetPr>
  <dimension ref="A1:AX31"/>
  <sheetViews>
    <sheetView topLeftCell="AL1" workbookViewId="0">
      <selection activeCell="D28" sqref="D28"/>
    </sheetView>
  </sheetViews>
  <sheetFormatPr defaultColWidth="9" defaultRowHeight="24.75" customHeight="1"/>
  <cols>
    <col min="1" max="1" width="6.125" style="59" bestFit="1" customWidth="1"/>
    <col min="2" max="2" width="12.25" style="59" customWidth="1"/>
    <col min="3" max="3" width="11.125" style="59" customWidth="1"/>
    <col min="4" max="4" width="14.875" style="88" bestFit="1" customWidth="1"/>
    <col min="5" max="5" width="7.125" style="59" customWidth="1"/>
    <col min="6" max="6" width="9.125" style="59" customWidth="1"/>
    <col min="7" max="7" width="50.625" style="59" customWidth="1"/>
    <col min="8" max="8" width="10.75" style="60" bestFit="1" customWidth="1"/>
    <col min="9" max="9" width="7.625" style="60" customWidth="1"/>
    <col min="10" max="10" width="33.125" style="59" customWidth="1"/>
    <col min="11" max="11" width="25.5" style="59" customWidth="1"/>
    <col min="12" max="12" width="11.5" style="59" bestFit="1" customWidth="1"/>
    <col min="13" max="13" width="15" style="59" bestFit="1" customWidth="1"/>
    <col min="14" max="14" width="11.625" style="59" customWidth="1"/>
    <col min="15" max="15" width="35.5" style="59" bestFit="1" customWidth="1"/>
    <col min="16" max="16" width="10.75" style="60" bestFit="1" customWidth="1"/>
    <col min="17" max="17" width="39.25" style="59" customWidth="1"/>
    <col min="18" max="18" width="17" style="59" customWidth="1"/>
    <col min="19" max="19" width="23.25" style="60" bestFit="1" customWidth="1"/>
    <col min="20" max="20" width="15.5" style="60" customWidth="1"/>
    <col min="21" max="21" width="17.375" style="59" customWidth="1"/>
    <col min="22" max="22" width="10.75" style="60" bestFit="1" customWidth="1"/>
    <col min="23" max="23" width="27.125" style="59" customWidth="1"/>
    <col min="24" max="24" width="18.5" style="59" customWidth="1"/>
    <col min="25" max="25" width="15.5" style="60" bestFit="1" customWidth="1"/>
    <col min="26" max="26" width="12.125" style="59" customWidth="1"/>
    <col min="27" max="27" width="5.125" style="59" customWidth="1"/>
    <col min="28" max="28" width="5.5" style="59" customWidth="1"/>
    <col min="29" max="29" width="8.625" style="59" bestFit="1" customWidth="1"/>
    <col min="30" max="30" width="5.875" style="89" bestFit="1" customWidth="1"/>
    <col min="31" max="31" width="8.625" style="90" bestFit="1" customWidth="1"/>
    <col min="32" max="32" width="10.25" style="90" bestFit="1" customWidth="1"/>
    <col min="33" max="33" width="11.25" style="64" customWidth="1"/>
    <col min="34" max="34" width="11.5" style="60" customWidth="1"/>
    <col min="35" max="35" width="3.875" style="59" customWidth="1"/>
    <col min="36" max="36" width="11.5" style="60" customWidth="1"/>
    <col min="37" max="37" width="15.5" style="59" customWidth="1"/>
    <col min="38" max="38" width="16.375" style="60" customWidth="1"/>
    <col min="39" max="39" width="13" style="91" customWidth="1"/>
    <col min="40" max="40" width="30.875" style="59" bestFit="1" customWidth="1"/>
    <col min="41" max="41" width="16.125" style="91" customWidth="1"/>
    <col min="42" max="42" width="24.625" style="60" bestFit="1" customWidth="1"/>
    <col min="43" max="43" width="9" style="59"/>
    <col min="44" max="44" width="22.25" style="59" customWidth="1"/>
    <col min="49" max="16384" width="9" style="59"/>
  </cols>
  <sheetData>
    <row r="1" spans="1:50" ht="24.75" customHeight="1">
      <c r="B1" s="57" t="s">
        <v>79</v>
      </c>
      <c r="C1" s="57"/>
      <c r="D1" s="58"/>
      <c r="E1" s="57"/>
      <c r="F1" s="57"/>
    </row>
    <row r="2" spans="1:50" s="129" customFormat="1" ht="24.75" hidden="1" customHeight="1">
      <c r="B2" s="128"/>
      <c r="C2" s="126" t="s">
        <v>155</v>
      </c>
      <c r="D2" s="127" t="s">
        <v>153</v>
      </c>
      <c r="E2" s="128"/>
      <c r="F2" s="128"/>
      <c r="G2" s="130" t="s">
        <v>157</v>
      </c>
      <c r="H2" s="130" t="s">
        <v>2092</v>
      </c>
      <c r="I2" s="131" t="s">
        <v>158</v>
      </c>
      <c r="J2" s="131" t="s">
        <v>158</v>
      </c>
      <c r="K2" s="130" t="s">
        <v>159</v>
      </c>
      <c r="L2" s="130"/>
      <c r="M2" s="130"/>
      <c r="O2" s="125"/>
      <c r="P2" s="137"/>
      <c r="Q2" s="125"/>
      <c r="R2" s="125"/>
      <c r="S2" s="137"/>
      <c r="T2" s="132"/>
      <c r="U2" s="125"/>
      <c r="V2" s="137"/>
      <c r="W2" s="125"/>
      <c r="X2" s="125"/>
      <c r="Y2" s="137"/>
      <c r="AA2" s="125"/>
      <c r="AB2" s="125"/>
      <c r="AD2" s="138"/>
      <c r="AE2" s="133"/>
      <c r="AF2" s="133"/>
      <c r="AG2" s="134"/>
      <c r="AH2" s="137"/>
      <c r="AI2" s="125"/>
      <c r="AJ2" s="137"/>
      <c r="AK2" s="139" t="s">
        <v>181</v>
      </c>
      <c r="AL2" s="140" t="s">
        <v>182</v>
      </c>
      <c r="AM2" s="135"/>
      <c r="AO2" s="124" t="s">
        <v>150</v>
      </c>
      <c r="AP2" s="132"/>
      <c r="AS2" s="136"/>
      <c r="AT2" s="136"/>
      <c r="AU2" s="136"/>
      <c r="AV2" s="136"/>
    </row>
    <row r="3" spans="1:50" s="60" customFormat="1" ht="24.75" customHeight="1">
      <c r="B3" s="65" t="s">
        <v>33</v>
      </c>
      <c r="C3" s="273" t="s">
        <v>34</v>
      </c>
      <c r="D3" s="274"/>
      <c r="E3" s="66"/>
      <c r="F3" s="66"/>
      <c r="G3" s="277" t="s">
        <v>36</v>
      </c>
      <c r="H3" s="277"/>
      <c r="I3" s="277"/>
      <c r="J3" s="277"/>
      <c r="K3" s="277"/>
      <c r="L3" s="277"/>
      <c r="M3" s="277"/>
      <c r="N3" s="277"/>
      <c r="O3" s="278" t="s">
        <v>37</v>
      </c>
      <c r="P3" s="278"/>
      <c r="Q3" s="278"/>
      <c r="R3" s="278"/>
      <c r="S3" s="278"/>
      <c r="T3" s="278"/>
      <c r="U3" s="279" t="s">
        <v>38</v>
      </c>
      <c r="V3" s="279"/>
      <c r="W3" s="279"/>
      <c r="X3" s="279"/>
      <c r="Y3" s="279"/>
      <c r="Z3" s="279"/>
      <c r="AA3" s="265" t="s">
        <v>80</v>
      </c>
      <c r="AB3" s="266"/>
      <c r="AC3" s="267"/>
      <c r="AD3" s="92" t="s">
        <v>40</v>
      </c>
      <c r="AE3" s="92" t="s">
        <v>41</v>
      </c>
      <c r="AF3" s="92" t="s">
        <v>42</v>
      </c>
      <c r="AG3" s="93" t="s">
        <v>43</v>
      </c>
      <c r="AH3" s="265" t="s">
        <v>44</v>
      </c>
      <c r="AI3" s="266"/>
      <c r="AJ3" s="266"/>
      <c r="AK3" s="65" t="s">
        <v>45</v>
      </c>
      <c r="AL3" s="65" t="s">
        <v>46</v>
      </c>
      <c r="AM3" s="94" t="s">
        <v>47</v>
      </c>
      <c r="AN3" s="65" t="s">
        <v>52</v>
      </c>
      <c r="AO3" s="94" t="s">
        <v>49</v>
      </c>
      <c r="AP3" s="95"/>
      <c r="AS3"/>
      <c r="AT3"/>
      <c r="AU3"/>
      <c r="AV3"/>
    </row>
    <row r="4" spans="1:50" ht="24.75" customHeight="1">
      <c r="B4" s="77"/>
      <c r="C4" s="70" t="s">
        <v>53</v>
      </c>
      <c r="D4" s="71" t="s">
        <v>54</v>
      </c>
      <c r="E4" s="70"/>
      <c r="F4" s="70"/>
      <c r="G4" s="70" t="s">
        <v>57</v>
      </c>
      <c r="H4" s="70" t="s">
        <v>2093</v>
      </c>
      <c r="I4" s="70" t="s">
        <v>59</v>
      </c>
      <c r="J4" s="70" t="s">
        <v>64</v>
      </c>
      <c r="K4" s="70" t="s">
        <v>61</v>
      </c>
      <c r="L4" s="70" t="s">
        <v>81</v>
      </c>
      <c r="M4" s="70" t="s">
        <v>62</v>
      </c>
      <c r="N4" s="70" t="s">
        <v>63</v>
      </c>
      <c r="O4" s="70" t="s">
        <v>57</v>
      </c>
      <c r="P4" s="70" t="s">
        <v>2093</v>
      </c>
      <c r="Q4" s="70" t="s">
        <v>64</v>
      </c>
      <c r="R4" s="70" t="s">
        <v>61</v>
      </c>
      <c r="S4" s="70" t="s">
        <v>62</v>
      </c>
      <c r="T4" s="70" t="s">
        <v>63</v>
      </c>
      <c r="U4" s="70" t="s">
        <v>57</v>
      </c>
      <c r="V4" s="70" t="s">
        <v>2093</v>
      </c>
      <c r="W4" s="70" t="s">
        <v>64</v>
      </c>
      <c r="X4" s="70" t="s">
        <v>61</v>
      </c>
      <c r="Y4" s="70" t="s">
        <v>62</v>
      </c>
      <c r="Z4" s="70" t="s">
        <v>63</v>
      </c>
      <c r="AA4" s="73" t="s">
        <v>82</v>
      </c>
      <c r="AB4" s="78" t="s">
        <v>83</v>
      </c>
      <c r="AC4" s="96" t="s">
        <v>84</v>
      </c>
      <c r="AD4" s="97"/>
      <c r="AE4" s="98"/>
      <c r="AF4" s="98"/>
      <c r="AG4" s="99"/>
      <c r="AH4" s="100" t="s">
        <v>85</v>
      </c>
      <c r="AI4" s="78"/>
      <c r="AJ4" s="101" t="s">
        <v>86</v>
      </c>
      <c r="AK4" s="77"/>
      <c r="AL4" s="77"/>
      <c r="AM4" s="102"/>
      <c r="AN4" s="103"/>
      <c r="AO4" s="102"/>
      <c r="AP4" s="70" t="s">
        <v>50</v>
      </c>
      <c r="AR4" s="59" t="s">
        <v>71</v>
      </c>
      <c r="AS4" t="s">
        <v>72</v>
      </c>
      <c r="AT4" t="s">
        <v>15</v>
      </c>
      <c r="AU4" t="s">
        <v>73</v>
      </c>
      <c r="AV4" t="s">
        <v>74</v>
      </c>
      <c r="AX4" s="104" t="s">
        <v>87</v>
      </c>
    </row>
    <row r="5" spans="1:50" ht="24.75" customHeight="1">
      <c r="A5" s="81">
        <f>ROW() - 4</f>
        <v>1</v>
      </c>
      <c r="B5" s="81" t="s">
        <v>2426</v>
      </c>
      <c r="C5" s="81"/>
      <c r="D5" s="234"/>
      <c r="E5" s="81"/>
      <c r="F5" s="81"/>
      <c r="G5" s="81" t="s">
        <v>2516</v>
      </c>
      <c r="H5" s="69" t="s">
        <v>2551</v>
      </c>
      <c r="I5" s="69" t="s">
        <v>2258</v>
      </c>
      <c r="J5" s="81" t="s">
        <v>2517</v>
      </c>
      <c r="K5" s="81" t="s">
        <v>2518</v>
      </c>
      <c r="L5" s="81" t="s">
        <v>2519</v>
      </c>
      <c r="M5" s="81" t="s">
        <v>2552</v>
      </c>
      <c r="N5" s="81"/>
      <c r="O5" s="81" t="s">
        <v>2520</v>
      </c>
      <c r="P5" s="69" t="s">
        <v>2553</v>
      </c>
      <c r="Q5" s="81" t="s">
        <v>2521</v>
      </c>
      <c r="R5" s="81" t="s">
        <v>2522</v>
      </c>
      <c r="S5" s="69" t="s">
        <v>2554</v>
      </c>
      <c r="T5" s="69"/>
      <c r="U5" s="81" t="s">
        <v>2516</v>
      </c>
      <c r="V5" s="69" t="s">
        <v>2551</v>
      </c>
      <c r="W5" s="81" t="s">
        <v>2523</v>
      </c>
      <c r="X5" s="81" t="s">
        <v>2519</v>
      </c>
      <c r="Y5" s="69" t="s">
        <v>2552</v>
      </c>
      <c r="Z5" s="81"/>
      <c r="AA5" s="81">
        <v>5</v>
      </c>
      <c r="AB5" s="81" t="s">
        <v>2178</v>
      </c>
      <c r="AC5" s="81"/>
      <c r="AD5" s="106">
        <v>1</v>
      </c>
      <c r="AE5" s="107"/>
      <c r="AF5" s="107">
        <f>AE5</f>
        <v>0</v>
      </c>
      <c r="AG5" s="235"/>
      <c r="AH5" s="236">
        <v>45748</v>
      </c>
      <c r="AI5" s="81" t="s">
        <v>2184</v>
      </c>
      <c r="AJ5" s="236">
        <v>47573</v>
      </c>
      <c r="AK5" s="81" t="s">
        <v>2556</v>
      </c>
      <c r="AL5" s="69" t="s">
        <v>2524</v>
      </c>
      <c r="AM5" s="108">
        <v>45741</v>
      </c>
      <c r="AN5" s="81"/>
      <c r="AO5" s="108"/>
      <c r="AP5" s="69"/>
      <c r="AR5" s="59" t="s">
        <v>2455</v>
      </c>
      <c r="AS5" s="169">
        <v>600600</v>
      </c>
      <c r="AT5" s="169">
        <v>406200</v>
      </c>
      <c r="AU5">
        <f t="shared" ref="AU5:AU31" si="0">SUMIF($B:$B,$B5,$AS:$AS)</f>
        <v>13967400</v>
      </c>
      <c r="AV5">
        <f t="shared" ref="AV5:AV31" si="1">SUMIF($B:$B,$B5,$AT:$AT)</f>
        <v>9442200</v>
      </c>
      <c r="AX5" s="59" t="str">
        <f>IF(_xlfn.XLOOKUP($AK5,価格表__卸価格[品番],価格表__卸価格[代替],"")=0,"",_xlfn.XLOOKUP($AK5,価格表__卸価格[品番],価格表__卸価格[代替],""))</f>
        <v/>
      </c>
    </row>
    <row r="6" spans="1:50" ht="24.75" customHeight="1">
      <c r="A6" s="81">
        <f t="shared" ref="A6:A31" si="2">ROW() - 4</f>
        <v>2</v>
      </c>
      <c r="B6" s="81" t="s">
        <v>2426</v>
      </c>
      <c r="C6" s="81"/>
      <c r="D6" s="234"/>
      <c r="E6" s="81"/>
      <c r="F6" s="81"/>
      <c r="G6" s="81" t="s">
        <v>2516</v>
      </c>
      <c r="H6" s="69" t="s">
        <v>2551</v>
      </c>
      <c r="I6" s="69" t="s">
        <v>2258</v>
      </c>
      <c r="J6" s="81" t="s">
        <v>2517</v>
      </c>
      <c r="K6" s="81" t="s">
        <v>2518</v>
      </c>
      <c r="L6" s="81" t="s">
        <v>2519</v>
      </c>
      <c r="M6" s="81" t="s">
        <v>2552</v>
      </c>
      <c r="N6" s="81"/>
      <c r="O6" s="81" t="s">
        <v>2520</v>
      </c>
      <c r="P6" s="69" t="s">
        <v>2553</v>
      </c>
      <c r="Q6" s="81" t="s">
        <v>2521</v>
      </c>
      <c r="R6" s="81" t="s">
        <v>2522</v>
      </c>
      <c r="S6" s="69" t="s">
        <v>2554</v>
      </c>
      <c r="T6" s="69"/>
      <c r="U6" s="81" t="s">
        <v>2516</v>
      </c>
      <c r="V6" s="69" t="s">
        <v>2551</v>
      </c>
      <c r="W6" s="81" t="s">
        <v>2523</v>
      </c>
      <c r="X6" s="81" t="s">
        <v>2519</v>
      </c>
      <c r="Y6" s="69" t="s">
        <v>2552</v>
      </c>
      <c r="Z6" s="81"/>
      <c r="AA6" s="81">
        <v>5</v>
      </c>
      <c r="AB6" s="81" t="s">
        <v>2178</v>
      </c>
      <c r="AC6" s="81"/>
      <c r="AD6" s="106">
        <v>1</v>
      </c>
      <c r="AE6" s="107"/>
      <c r="AF6" s="107">
        <f t="shared" ref="AF6:AF31" si="3">AE6</f>
        <v>0</v>
      </c>
      <c r="AG6" s="235"/>
      <c r="AH6" s="236">
        <v>45748</v>
      </c>
      <c r="AI6" s="81" t="s">
        <v>2184</v>
      </c>
      <c r="AJ6" s="236">
        <v>47573</v>
      </c>
      <c r="AK6" s="81" t="s">
        <v>394</v>
      </c>
      <c r="AL6" s="69" t="s">
        <v>2525</v>
      </c>
      <c r="AM6" s="108">
        <v>45741</v>
      </c>
      <c r="AN6" s="81"/>
      <c r="AO6" s="108"/>
      <c r="AP6" s="69"/>
      <c r="AR6" s="59" t="s">
        <v>2589</v>
      </c>
      <c r="AS6" s="169">
        <v>600600</v>
      </c>
      <c r="AT6" s="169">
        <v>406200</v>
      </c>
      <c r="AU6">
        <f t="shared" si="0"/>
        <v>13967400</v>
      </c>
      <c r="AV6">
        <f t="shared" si="1"/>
        <v>9442200</v>
      </c>
      <c r="AX6" s="59" t="str">
        <f>IF(_xlfn.XLOOKUP($AK6,価格表__卸価格[品番],価格表__卸価格[代替],"")=0,"",_xlfn.XLOOKUP($AK6,価格表__卸価格[品番],価格表__卸価格[代替],""))</f>
        <v/>
      </c>
    </row>
    <row r="7" spans="1:50" ht="24.75" customHeight="1">
      <c r="A7" s="81">
        <f t="shared" si="2"/>
        <v>3</v>
      </c>
      <c r="B7" s="81" t="s">
        <v>2426</v>
      </c>
      <c r="C7" s="81"/>
      <c r="D7" s="234"/>
      <c r="E7" s="81"/>
      <c r="F7" s="81"/>
      <c r="G7" s="81" t="s">
        <v>2516</v>
      </c>
      <c r="H7" s="69" t="s">
        <v>2551</v>
      </c>
      <c r="I7" s="69" t="s">
        <v>2258</v>
      </c>
      <c r="J7" s="81" t="s">
        <v>2517</v>
      </c>
      <c r="K7" s="81" t="s">
        <v>2518</v>
      </c>
      <c r="L7" s="81" t="s">
        <v>2519</v>
      </c>
      <c r="M7" s="81" t="s">
        <v>2552</v>
      </c>
      <c r="N7" s="81"/>
      <c r="O7" s="81" t="s">
        <v>2520</v>
      </c>
      <c r="P7" s="69" t="s">
        <v>2553</v>
      </c>
      <c r="Q7" s="81" t="s">
        <v>2521</v>
      </c>
      <c r="R7" s="81" t="s">
        <v>2522</v>
      </c>
      <c r="S7" s="69" t="s">
        <v>2554</v>
      </c>
      <c r="T7" s="69"/>
      <c r="U7" s="81" t="s">
        <v>2516</v>
      </c>
      <c r="V7" s="69" t="s">
        <v>2551</v>
      </c>
      <c r="W7" s="81" t="s">
        <v>2523</v>
      </c>
      <c r="X7" s="81" t="s">
        <v>2519</v>
      </c>
      <c r="Y7" s="69" t="s">
        <v>2552</v>
      </c>
      <c r="Z7" s="81"/>
      <c r="AA7" s="81">
        <v>5</v>
      </c>
      <c r="AB7" s="81" t="s">
        <v>2178</v>
      </c>
      <c r="AC7" s="81"/>
      <c r="AD7" s="106">
        <v>1</v>
      </c>
      <c r="AE7" s="107"/>
      <c r="AF7" s="107">
        <f t="shared" si="3"/>
        <v>0</v>
      </c>
      <c r="AG7" s="235"/>
      <c r="AH7" s="236">
        <v>45748</v>
      </c>
      <c r="AI7" s="81" t="s">
        <v>2184</v>
      </c>
      <c r="AJ7" s="236">
        <v>47573</v>
      </c>
      <c r="AK7" s="81" t="s">
        <v>394</v>
      </c>
      <c r="AL7" s="69" t="s">
        <v>2526</v>
      </c>
      <c r="AM7" s="108">
        <v>45741</v>
      </c>
      <c r="AN7" s="81"/>
      <c r="AO7" s="108"/>
      <c r="AP7" s="69"/>
      <c r="AR7" s="59" t="s">
        <v>2589</v>
      </c>
      <c r="AS7" s="169">
        <v>600600</v>
      </c>
      <c r="AT7" s="169">
        <v>406200</v>
      </c>
      <c r="AU7">
        <f t="shared" si="0"/>
        <v>13967400</v>
      </c>
      <c r="AV7">
        <f t="shared" si="1"/>
        <v>9442200</v>
      </c>
      <c r="AX7" s="59" t="str">
        <f>IF(_xlfn.XLOOKUP($AK7,価格表__卸価格[品番],価格表__卸価格[代替],"")=0,"",_xlfn.XLOOKUP($AK7,価格表__卸価格[品番],価格表__卸価格[代替],""))</f>
        <v/>
      </c>
    </row>
    <row r="8" spans="1:50" ht="24.75" customHeight="1">
      <c r="A8" s="81">
        <f t="shared" si="2"/>
        <v>4</v>
      </c>
      <c r="B8" s="81" t="s">
        <v>2426</v>
      </c>
      <c r="C8" s="81"/>
      <c r="D8" s="234"/>
      <c r="E8" s="81"/>
      <c r="F8" s="81"/>
      <c r="G8" s="81" t="s">
        <v>2516</v>
      </c>
      <c r="H8" s="69" t="s">
        <v>2551</v>
      </c>
      <c r="I8" s="69" t="s">
        <v>2258</v>
      </c>
      <c r="J8" s="81" t="s">
        <v>2517</v>
      </c>
      <c r="K8" s="81" t="s">
        <v>2518</v>
      </c>
      <c r="L8" s="81" t="s">
        <v>2519</v>
      </c>
      <c r="M8" s="81" t="s">
        <v>2552</v>
      </c>
      <c r="N8" s="81"/>
      <c r="O8" s="81" t="s">
        <v>2520</v>
      </c>
      <c r="P8" s="69" t="s">
        <v>2553</v>
      </c>
      <c r="Q8" s="81" t="s">
        <v>2521</v>
      </c>
      <c r="R8" s="81" t="s">
        <v>2522</v>
      </c>
      <c r="S8" s="69" t="s">
        <v>2554</v>
      </c>
      <c r="T8" s="69"/>
      <c r="U8" s="81" t="s">
        <v>2516</v>
      </c>
      <c r="V8" s="69" t="s">
        <v>2551</v>
      </c>
      <c r="W8" s="81" t="s">
        <v>2523</v>
      </c>
      <c r="X8" s="81" t="s">
        <v>2519</v>
      </c>
      <c r="Y8" s="69" t="s">
        <v>2552</v>
      </c>
      <c r="Z8" s="81"/>
      <c r="AA8" s="81">
        <v>5</v>
      </c>
      <c r="AB8" s="81" t="s">
        <v>2178</v>
      </c>
      <c r="AC8" s="81"/>
      <c r="AD8" s="106">
        <v>1</v>
      </c>
      <c r="AE8" s="107"/>
      <c r="AF8" s="107">
        <f t="shared" si="3"/>
        <v>0</v>
      </c>
      <c r="AG8" s="235"/>
      <c r="AH8" s="236">
        <v>45748</v>
      </c>
      <c r="AI8" s="81" t="s">
        <v>2184</v>
      </c>
      <c r="AJ8" s="236">
        <v>47573</v>
      </c>
      <c r="AK8" s="81" t="s">
        <v>394</v>
      </c>
      <c r="AL8" s="69" t="s">
        <v>2527</v>
      </c>
      <c r="AM8" s="108">
        <v>45741</v>
      </c>
      <c r="AN8" s="81"/>
      <c r="AO8" s="108"/>
      <c r="AP8" s="69"/>
      <c r="AR8" s="59" t="s">
        <v>2589</v>
      </c>
      <c r="AS8" s="169">
        <v>600600</v>
      </c>
      <c r="AT8" s="169">
        <v>406200</v>
      </c>
      <c r="AU8">
        <f t="shared" si="0"/>
        <v>13967400</v>
      </c>
      <c r="AV8">
        <f t="shared" si="1"/>
        <v>9442200</v>
      </c>
      <c r="AX8" s="59" t="str">
        <f>IF(_xlfn.XLOOKUP($AK8,価格表__卸価格[品番],価格表__卸価格[代替],"")=0,"",_xlfn.XLOOKUP($AK8,価格表__卸価格[品番],価格表__卸価格[代替],""))</f>
        <v/>
      </c>
    </row>
    <row r="9" spans="1:50" ht="24.75" customHeight="1">
      <c r="A9" s="81">
        <f t="shared" si="2"/>
        <v>5</v>
      </c>
      <c r="B9" s="81" t="s">
        <v>2426</v>
      </c>
      <c r="C9" s="81"/>
      <c r="D9" s="234"/>
      <c r="E9" s="81"/>
      <c r="F9" s="81"/>
      <c r="G9" s="81" t="s">
        <v>2516</v>
      </c>
      <c r="H9" s="69" t="s">
        <v>2551</v>
      </c>
      <c r="I9" s="69" t="s">
        <v>2258</v>
      </c>
      <c r="J9" s="81" t="s">
        <v>2517</v>
      </c>
      <c r="K9" s="81" t="s">
        <v>2518</v>
      </c>
      <c r="L9" s="81" t="s">
        <v>2519</v>
      </c>
      <c r="M9" s="81" t="s">
        <v>2552</v>
      </c>
      <c r="N9" s="81"/>
      <c r="O9" s="81" t="s">
        <v>2520</v>
      </c>
      <c r="P9" s="69" t="s">
        <v>2553</v>
      </c>
      <c r="Q9" s="81" t="s">
        <v>2521</v>
      </c>
      <c r="R9" s="81" t="s">
        <v>2522</v>
      </c>
      <c r="S9" s="69" t="s">
        <v>2554</v>
      </c>
      <c r="T9" s="69"/>
      <c r="U9" s="81" t="s">
        <v>2516</v>
      </c>
      <c r="V9" s="69" t="s">
        <v>2551</v>
      </c>
      <c r="W9" s="81" t="s">
        <v>2523</v>
      </c>
      <c r="X9" s="81" t="s">
        <v>2519</v>
      </c>
      <c r="Y9" s="69" t="s">
        <v>2552</v>
      </c>
      <c r="Z9" s="81"/>
      <c r="AA9" s="81">
        <v>5</v>
      </c>
      <c r="AB9" s="81" t="s">
        <v>2178</v>
      </c>
      <c r="AC9" s="81"/>
      <c r="AD9" s="106">
        <v>1</v>
      </c>
      <c r="AE9" s="107"/>
      <c r="AF9" s="107">
        <f t="shared" si="3"/>
        <v>0</v>
      </c>
      <c r="AG9" s="235"/>
      <c r="AH9" s="236">
        <v>45748</v>
      </c>
      <c r="AI9" s="81" t="s">
        <v>2184</v>
      </c>
      <c r="AJ9" s="236">
        <v>47573</v>
      </c>
      <c r="AK9" s="81" t="s">
        <v>394</v>
      </c>
      <c r="AL9" s="69" t="s">
        <v>2528</v>
      </c>
      <c r="AM9" s="108">
        <v>45741</v>
      </c>
      <c r="AN9" s="81"/>
      <c r="AO9" s="108"/>
      <c r="AP9" s="69"/>
      <c r="AR9" s="59" t="s">
        <v>2589</v>
      </c>
      <c r="AS9" s="169">
        <v>600600</v>
      </c>
      <c r="AT9" s="169">
        <v>406200</v>
      </c>
      <c r="AU9">
        <f t="shared" si="0"/>
        <v>13967400</v>
      </c>
      <c r="AV9">
        <f t="shared" si="1"/>
        <v>9442200</v>
      </c>
      <c r="AX9" s="59" t="str">
        <f>IF(_xlfn.XLOOKUP($AK9,価格表__卸価格[品番],価格表__卸価格[代替],"")=0,"",_xlfn.XLOOKUP($AK9,価格表__卸価格[品番],価格表__卸価格[代替],""))</f>
        <v/>
      </c>
    </row>
    <row r="10" spans="1:50" ht="24.75" customHeight="1">
      <c r="A10" s="81">
        <f t="shared" si="2"/>
        <v>6</v>
      </c>
      <c r="B10" s="81" t="s">
        <v>2426</v>
      </c>
      <c r="C10" s="81"/>
      <c r="D10" s="234"/>
      <c r="E10" s="81"/>
      <c r="F10" s="81"/>
      <c r="G10" s="81" t="s">
        <v>2516</v>
      </c>
      <c r="H10" s="69" t="s">
        <v>2551</v>
      </c>
      <c r="I10" s="69" t="s">
        <v>2258</v>
      </c>
      <c r="J10" s="81" t="s">
        <v>2517</v>
      </c>
      <c r="K10" s="81" t="s">
        <v>2518</v>
      </c>
      <c r="L10" s="81" t="s">
        <v>2519</v>
      </c>
      <c r="M10" s="81" t="s">
        <v>2552</v>
      </c>
      <c r="N10" s="81"/>
      <c r="O10" s="81" t="s">
        <v>2520</v>
      </c>
      <c r="P10" s="69" t="s">
        <v>2553</v>
      </c>
      <c r="Q10" s="81" t="s">
        <v>2521</v>
      </c>
      <c r="R10" s="81" t="s">
        <v>2522</v>
      </c>
      <c r="S10" s="69" t="s">
        <v>2554</v>
      </c>
      <c r="T10" s="69"/>
      <c r="U10" s="81" t="s">
        <v>2516</v>
      </c>
      <c r="V10" s="69" t="s">
        <v>2551</v>
      </c>
      <c r="W10" s="81" t="s">
        <v>2523</v>
      </c>
      <c r="X10" s="81" t="s">
        <v>2519</v>
      </c>
      <c r="Y10" s="69" t="s">
        <v>2552</v>
      </c>
      <c r="Z10" s="81"/>
      <c r="AA10" s="81">
        <v>5</v>
      </c>
      <c r="AB10" s="81" t="s">
        <v>2178</v>
      </c>
      <c r="AC10" s="81"/>
      <c r="AD10" s="106">
        <v>1</v>
      </c>
      <c r="AE10" s="107"/>
      <c r="AF10" s="107">
        <f t="shared" si="3"/>
        <v>0</v>
      </c>
      <c r="AG10" s="235"/>
      <c r="AH10" s="236">
        <v>45748</v>
      </c>
      <c r="AI10" s="81" t="s">
        <v>2184</v>
      </c>
      <c r="AJ10" s="236">
        <v>47573</v>
      </c>
      <c r="AK10" s="81" t="s">
        <v>394</v>
      </c>
      <c r="AL10" s="69" t="s">
        <v>2529</v>
      </c>
      <c r="AM10" s="108">
        <v>45741</v>
      </c>
      <c r="AN10" s="81"/>
      <c r="AO10" s="108"/>
      <c r="AP10" s="69"/>
      <c r="AR10" s="59" t="s">
        <v>2589</v>
      </c>
      <c r="AS10" s="169">
        <v>600600</v>
      </c>
      <c r="AT10" s="169">
        <v>406200</v>
      </c>
      <c r="AU10">
        <f t="shared" si="0"/>
        <v>13967400</v>
      </c>
      <c r="AV10">
        <f t="shared" si="1"/>
        <v>9442200</v>
      </c>
      <c r="AX10" s="59" t="str">
        <f>IF(_xlfn.XLOOKUP($AK10,価格表__卸価格[品番],価格表__卸価格[代替],"")=0,"",_xlfn.XLOOKUP($AK10,価格表__卸価格[品番],価格表__卸価格[代替],""))</f>
        <v/>
      </c>
    </row>
    <row r="11" spans="1:50" ht="24.75" customHeight="1">
      <c r="A11" s="81">
        <f t="shared" si="2"/>
        <v>7</v>
      </c>
      <c r="B11" s="81" t="s">
        <v>2426</v>
      </c>
      <c r="C11" s="81"/>
      <c r="D11" s="234"/>
      <c r="E11" s="81"/>
      <c r="F11" s="81"/>
      <c r="G11" s="81" t="s">
        <v>2516</v>
      </c>
      <c r="H11" s="69" t="s">
        <v>2551</v>
      </c>
      <c r="I11" s="69" t="s">
        <v>2258</v>
      </c>
      <c r="J11" s="81" t="s">
        <v>2517</v>
      </c>
      <c r="K11" s="81" t="s">
        <v>2518</v>
      </c>
      <c r="L11" s="81" t="s">
        <v>2519</v>
      </c>
      <c r="M11" s="81" t="s">
        <v>2552</v>
      </c>
      <c r="N11" s="81"/>
      <c r="O11" s="81" t="s">
        <v>2520</v>
      </c>
      <c r="P11" s="69" t="s">
        <v>2553</v>
      </c>
      <c r="Q11" s="81" t="s">
        <v>2521</v>
      </c>
      <c r="R11" s="81" t="s">
        <v>2522</v>
      </c>
      <c r="S11" s="69" t="s">
        <v>2554</v>
      </c>
      <c r="T11" s="69"/>
      <c r="U11" s="81" t="s">
        <v>2516</v>
      </c>
      <c r="V11" s="69" t="s">
        <v>2551</v>
      </c>
      <c r="W11" s="81" t="s">
        <v>2523</v>
      </c>
      <c r="X11" s="81" t="s">
        <v>2519</v>
      </c>
      <c r="Y11" s="69" t="s">
        <v>2552</v>
      </c>
      <c r="Z11" s="81"/>
      <c r="AA11" s="81">
        <v>5</v>
      </c>
      <c r="AB11" s="81" t="s">
        <v>2178</v>
      </c>
      <c r="AC11" s="81"/>
      <c r="AD11" s="106">
        <v>1</v>
      </c>
      <c r="AE11" s="107"/>
      <c r="AF11" s="107">
        <f t="shared" si="3"/>
        <v>0</v>
      </c>
      <c r="AG11" s="235"/>
      <c r="AH11" s="236">
        <v>45748</v>
      </c>
      <c r="AI11" s="81" t="s">
        <v>2184</v>
      </c>
      <c r="AJ11" s="236">
        <v>47573</v>
      </c>
      <c r="AK11" s="81" t="s">
        <v>394</v>
      </c>
      <c r="AL11" s="69" t="s">
        <v>2530</v>
      </c>
      <c r="AM11" s="108">
        <v>45741</v>
      </c>
      <c r="AN11" s="81"/>
      <c r="AO11" s="108"/>
      <c r="AP11" s="69"/>
      <c r="AR11" s="59" t="s">
        <v>2589</v>
      </c>
      <c r="AS11" s="169">
        <v>600600</v>
      </c>
      <c r="AT11" s="169">
        <v>406200</v>
      </c>
      <c r="AU11">
        <f t="shared" si="0"/>
        <v>13967400</v>
      </c>
      <c r="AV11">
        <f t="shared" si="1"/>
        <v>9442200</v>
      </c>
      <c r="AX11" s="59" t="str">
        <f>IF(_xlfn.XLOOKUP($AK11,価格表__卸価格[品番],価格表__卸価格[代替],"")=0,"",_xlfn.XLOOKUP($AK11,価格表__卸価格[品番],価格表__卸価格[代替],""))</f>
        <v/>
      </c>
    </row>
    <row r="12" spans="1:50" ht="24.75" customHeight="1">
      <c r="A12" s="81">
        <f t="shared" si="2"/>
        <v>8</v>
      </c>
      <c r="B12" s="81" t="s">
        <v>2426</v>
      </c>
      <c r="C12" s="81"/>
      <c r="D12" s="234"/>
      <c r="E12" s="81"/>
      <c r="F12" s="81"/>
      <c r="G12" s="81" t="s">
        <v>2516</v>
      </c>
      <c r="H12" s="69" t="s">
        <v>2551</v>
      </c>
      <c r="I12" s="69" t="s">
        <v>2258</v>
      </c>
      <c r="J12" s="81" t="s">
        <v>2517</v>
      </c>
      <c r="K12" s="81" t="s">
        <v>2518</v>
      </c>
      <c r="L12" s="81" t="s">
        <v>2519</v>
      </c>
      <c r="M12" s="81" t="s">
        <v>2552</v>
      </c>
      <c r="N12" s="81"/>
      <c r="O12" s="81" t="s">
        <v>2520</v>
      </c>
      <c r="P12" s="69" t="s">
        <v>2553</v>
      </c>
      <c r="Q12" s="81" t="s">
        <v>2521</v>
      </c>
      <c r="R12" s="81" t="s">
        <v>2522</v>
      </c>
      <c r="S12" s="69" t="s">
        <v>2554</v>
      </c>
      <c r="T12" s="69"/>
      <c r="U12" s="81" t="s">
        <v>2516</v>
      </c>
      <c r="V12" s="69" t="s">
        <v>2551</v>
      </c>
      <c r="W12" s="81" t="s">
        <v>2523</v>
      </c>
      <c r="X12" s="81" t="s">
        <v>2519</v>
      </c>
      <c r="Y12" s="69" t="s">
        <v>2552</v>
      </c>
      <c r="Z12" s="81"/>
      <c r="AA12" s="81">
        <v>5</v>
      </c>
      <c r="AB12" s="81" t="s">
        <v>2178</v>
      </c>
      <c r="AC12" s="81"/>
      <c r="AD12" s="106">
        <v>1</v>
      </c>
      <c r="AE12" s="107"/>
      <c r="AF12" s="107">
        <f t="shared" si="3"/>
        <v>0</v>
      </c>
      <c r="AG12" s="235"/>
      <c r="AH12" s="236">
        <v>45748</v>
      </c>
      <c r="AI12" s="81" t="s">
        <v>2184</v>
      </c>
      <c r="AJ12" s="236">
        <v>47573</v>
      </c>
      <c r="AK12" s="81" t="s">
        <v>394</v>
      </c>
      <c r="AL12" s="69" t="s">
        <v>2531</v>
      </c>
      <c r="AM12" s="108">
        <v>45741</v>
      </c>
      <c r="AN12" s="81"/>
      <c r="AO12" s="108"/>
      <c r="AP12" s="69"/>
      <c r="AR12" s="59" t="s">
        <v>2589</v>
      </c>
      <c r="AS12" s="169">
        <v>600600</v>
      </c>
      <c r="AT12" s="169">
        <v>406200</v>
      </c>
      <c r="AU12">
        <f t="shared" si="0"/>
        <v>13967400</v>
      </c>
      <c r="AV12">
        <f t="shared" si="1"/>
        <v>9442200</v>
      </c>
      <c r="AX12" s="59" t="str">
        <f>IF(_xlfn.XLOOKUP($AK12,価格表__卸価格[品番],価格表__卸価格[代替],"")=0,"",_xlfn.XLOOKUP($AK12,価格表__卸価格[品番],価格表__卸価格[代替],""))</f>
        <v/>
      </c>
    </row>
    <row r="13" spans="1:50" ht="24.75" customHeight="1">
      <c r="A13" s="81">
        <f t="shared" si="2"/>
        <v>9</v>
      </c>
      <c r="B13" s="81" t="s">
        <v>2426</v>
      </c>
      <c r="C13" s="81"/>
      <c r="D13" s="234"/>
      <c r="E13" s="81"/>
      <c r="F13" s="81"/>
      <c r="G13" s="81" t="s">
        <v>2516</v>
      </c>
      <c r="H13" s="69" t="s">
        <v>2551</v>
      </c>
      <c r="I13" s="69" t="s">
        <v>2258</v>
      </c>
      <c r="J13" s="81" t="s">
        <v>2517</v>
      </c>
      <c r="K13" s="81" t="s">
        <v>2518</v>
      </c>
      <c r="L13" s="81" t="s">
        <v>2519</v>
      </c>
      <c r="M13" s="81" t="s">
        <v>2552</v>
      </c>
      <c r="N13" s="81"/>
      <c r="O13" s="81" t="s">
        <v>2520</v>
      </c>
      <c r="P13" s="69" t="s">
        <v>2553</v>
      </c>
      <c r="Q13" s="81" t="s">
        <v>2521</v>
      </c>
      <c r="R13" s="81" t="s">
        <v>2522</v>
      </c>
      <c r="S13" s="69" t="s">
        <v>2554</v>
      </c>
      <c r="T13" s="69"/>
      <c r="U13" s="81" t="s">
        <v>2516</v>
      </c>
      <c r="V13" s="69" t="s">
        <v>2551</v>
      </c>
      <c r="W13" s="81" t="s">
        <v>2523</v>
      </c>
      <c r="X13" s="81" t="s">
        <v>2519</v>
      </c>
      <c r="Y13" s="69" t="s">
        <v>2552</v>
      </c>
      <c r="Z13" s="81"/>
      <c r="AA13" s="81">
        <v>5</v>
      </c>
      <c r="AB13" s="81" t="s">
        <v>2178</v>
      </c>
      <c r="AC13" s="81"/>
      <c r="AD13" s="106">
        <v>1</v>
      </c>
      <c r="AE13" s="107"/>
      <c r="AF13" s="107">
        <f t="shared" si="3"/>
        <v>0</v>
      </c>
      <c r="AG13" s="235"/>
      <c r="AH13" s="236">
        <v>45748</v>
      </c>
      <c r="AI13" s="81" t="s">
        <v>2184</v>
      </c>
      <c r="AJ13" s="236">
        <v>47573</v>
      </c>
      <c r="AK13" s="81" t="s">
        <v>394</v>
      </c>
      <c r="AL13" s="69" t="s">
        <v>2532</v>
      </c>
      <c r="AM13" s="108">
        <v>45741</v>
      </c>
      <c r="AN13" s="81"/>
      <c r="AO13" s="108"/>
      <c r="AP13" s="69"/>
      <c r="AR13" s="59" t="s">
        <v>2589</v>
      </c>
      <c r="AS13" s="169">
        <v>600600</v>
      </c>
      <c r="AT13" s="169">
        <v>406200</v>
      </c>
      <c r="AU13">
        <f t="shared" si="0"/>
        <v>13967400</v>
      </c>
      <c r="AV13">
        <f t="shared" si="1"/>
        <v>9442200</v>
      </c>
      <c r="AX13" s="59" t="str">
        <f>IF(_xlfn.XLOOKUP($AK13,価格表__卸価格[品番],価格表__卸価格[代替],"")=0,"",_xlfn.XLOOKUP($AK13,価格表__卸価格[品番],価格表__卸価格[代替],""))</f>
        <v/>
      </c>
    </row>
    <row r="14" spans="1:50" ht="24.75" customHeight="1">
      <c r="A14" s="81">
        <f t="shared" si="2"/>
        <v>10</v>
      </c>
      <c r="B14" s="81" t="s">
        <v>2426</v>
      </c>
      <c r="C14" s="81"/>
      <c r="D14" s="234"/>
      <c r="E14" s="81"/>
      <c r="F14" s="81"/>
      <c r="G14" s="81" t="s">
        <v>2516</v>
      </c>
      <c r="H14" s="69" t="s">
        <v>2551</v>
      </c>
      <c r="I14" s="69" t="s">
        <v>2258</v>
      </c>
      <c r="J14" s="81" t="s">
        <v>2517</v>
      </c>
      <c r="K14" s="81" t="s">
        <v>2518</v>
      </c>
      <c r="L14" s="81" t="s">
        <v>2519</v>
      </c>
      <c r="M14" s="81" t="s">
        <v>2552</v>
      </c>
      <c r="N14" s="81"/>
      <c r="O14" s="81" t="s">
        <v>2520</v>
      </c>
      <c r="P14" s="69" t="s">
        <v>2553</v>
      </c>
      <c r="Q14" s="81" t="s">
        <v>2521</v>
      </c>
      <c r="R14" s="81" t="s">
        <v>2522</v>
      </c>
      <c r="S14" s="69" t="s">
        <v>2554</v>
      </c>
      <c r="T14" s="69"/>
      <c r="U14" s="81" t="s">
        <v>2516</v>
      </c>
      <c r="V14" s="69" t="s">
        <v>2551</v>
      </c>
      <c r="W14" s="81" t="s">
        <v>2523</v>
      </c>
      <c r="X14" s="81" t="s">
        <v>2519</v>
      </c>
      <c r="Y14" s="69" t="s">
        <v>2552</v>
      </c>
      <c r="Z14" s="81"/>
      <c r="AA14" s="81">
        <v>5</v>
      </c>
      <c r="AB14" s="81" t="s">
        <v>2178</v>
      </c>
      <c r="AC14" s="81"/>
      <c r="AD14" s="106">
        <v>1</v>
      </c>
      <c r="AE14" s="107"/>
      <c r="AF14" s="107">
        <f t="shared" si="3"/>
        <v>0</v>
      </c>
      <c r="AG14" s="235"/>
      <c r="AH14" s="236">
        <v>45748</v>
      </c>
      <c r="AI14" s="81" t="s">
        <v>2184</v>
      </c>
      <c r="AJ14" s="236">
        <v>47573</v>
      </c>
      <c r="AK14" s="81" t="s">
        <v>394</v>
      </c>
      <c r="AL14" s="69" t="s">
        <v>2533</v>
      </c>
      <c r="AM14" s="108">
        <v>45741</v>
      </c>
      <c r="AN14" s="81"/>
      <c r="AO14" s="108"/>
      <c r="AP14" s="69"/>
      <c r="AR14" s="59" t="s">
        <v>2589</v>
      </c>
      <c r="AS14" s="169">
        <v>600600</v>
      </c>
      <c r="AT14" s="169">
        <v>406200</v>
      </c>
      <c r="AU14">
        <f t="shared" si="0"/>
        <v>13967400</v>
      </c>
      <c r="AV14">
        <f t="shared" si="1"/>
        <v>9442200</v>
      </c>
      <c r="AX14" s="59" t="str">
        <f>IF(_xlfn.XLOOKUP($AK14,価格表__卸価格[品番],価格表__卸価格[代替],"")=0,"",_xlfn.XLOOKUP($AK14,価格表__卸価格[品番],価格表__卸価格[代替],""))</f>
        <v/>
      </c>
    </row>
    <row r="15" spans="1:50" ht="24.75" customHeight="1">
      <c r="A15" s="81">
        <f t="shared" si="2"/>
        <v>11</v>
      </c>
      <c r="B15" s="81" t="s">
        <v>2426</v>
      </c>
      <c r="C15" s="81"/>
      <c r="D15" s="234"/>
      <c r="E15" s="81"/>
      <c r="F15" s="81"/>
      <c r="G15" s="81" t="s">
        <v>2516</v>
      </c>
      <c r="H15" s="69" t="s">
        <v>2551</v>
      </c>
      <c r="I15" s="69" t="s">
        <v>2258</v>
      </c>
      <c r="J15" s="81" t="s">
        <v>2517</v>
      </c>
      <c r="K15" s="81" t="s">
        <v>2518</v>
      </c>
      <c r="L15" s="81" t="s">
        <v>2519</v>
      </c>
      <c r="M15" s="81" t="s">
        <v>2552</v>
      </c>
      <c r="N15" s="81"/>
      <c r="O15" s="81" t="s">
        <v>2520</v>
      </c>
      <c r="P15" s="69" t="s">
        <v>2553</v>
      </c>
      <c r="Q15" s="81" t="s">
        <v>2521</v>
      </c>
      <c r="R15" s="81" t="s">
        <v>2522</v>
      </c>
      <c r="S15" s="69" t="s">
        <v>2554</v>
      </c>
      <c r="T15" s="69"/>
      <c r="U15" s="81" t="s">
        <v>2516</v>
      </c>
      <c r="V15" s="69" t="s">
        <v>2551</v>
      </c>
      <c r="W15" s="81" t="s">
        <v>2523</v>
      </c>
      <c r="X15" s="81" t="s">
        <v>2519</v>
      </c>
      <c r="Y15" s="69" t="s">
        <v>2552</v>
      </c>
      <c r="Z15" s="81"/>
      <c r="AA15" s="81">
        <v>5</v>
      </c>
      <c r="AB15" s="81" t="s">
        <v>2178</v>
      </c>
      <c r="AC15" s="81"/>
      <c r="AD15" s="106">
        <v>1</v>
      </c>
      <c r="AE15" s="107"/>
      <c r="AF15" s="107">
        <f t="shared" si="3"/>
        <v>0</v>
      </c>
      <c r="AG15" s="235"/>
      <c r="AH15" s="236">
        <v>45748</v>
      </c>
      <c r="AI15" s="81" t="s">
        <v>2184</v>
      </c>
      <c r="AJ15" s="236">
        <v>47573</v>
      </c>
      <c r="AK15" s="81" t="s">
        <v>394</v>
      </c>
      <c r="AL15" s="69" t="s">
        <v>2534</v>
      </c>
      <c r="AM15" s="108">
        <v>45741</v>
      </c>
      <c r="AN15" s="81"/>
      <c r="AO15" s="108"/>
      <c r="AP15" s="69"/>
      <c r="AR15" s="59" t="s">
        <v>2589</v>
      </c>
      <c r="AS15" s="169">
        <v>600600</v>
      </c>
      <c r="AT15" s="169">
        <v>406200</v>
      </c>
      <c r="AU15">
        <f t="shared" si="0"/>
        <v>13967400</v>
      </c>
      <c r="AV15">
        <f t="shared" si="1"/>
        <v>9442200</v>
      </c>
      <c r="AX15" s="59" t="str">
        <f>IF(_xlfn.XLOOKUP($AK15,価格表__卸価格[品番],価格表__卸価格[代替],"")=0,"",_xlfn.XLOOKUP($AK15,価格表__卸価格[品番],価格表__卸価格[代替],""))</f>
        <v/>
      </c>
    </row>
    <row r="16" spans="1:50" ht="24.75" customHeight="1">
      <c r="A16" s="81">
        <f t="shared" si="2"/>
        <v>12</v>
      </c>
      <c r="B16" s="81" t="s">
        <v>2426</v>
      </c>
      <c r="C16" s="81"/>
      <c r="D16" s="234"/>
      <c r="E16" s="81"/>
      <c r="F16" s="81"/>
      <c r="G16" s="81" t="s">
        <v>2516</v>
      </c>
      <c r="H16" s="69" t="s">
        <v>2551</v>
      </c>
      <c r="I16" s="69" t="s">
        <v>2258</v>
      </c>
      <c r="J16" s="81" t="s">
        <v>2517</v>
      </c>
      <c r="K16" s="81" t="s">
        <v>2518</v>
      </c>
      <c r="L16" s="81" t="s">
        <v>2519</v>
      </c>
      <c r="M16" s="81" t="s">
        <v>2552</v>
      </c>
      <c r="N16" s="81"/>
      <c r="O16" s="81" t="s">
        <v>2520</v>
      </c>
      <c r="P16" s="69" t="s">
        <v>2553</v>
      </c>
      <c r="Q16" s="81" t="s">
        <v>2521</v>
      </c>
      <c r="R16" s="81" t="s">
        <v>2522</v>
      </c>
      <c r="S16" s="69" t="s">
        <v>2554</v>
      </c>
      <c r="T16" s="69"/>
      <c r="U16" s="81" t="s">
        <v>2516</v>
      </c>
      <c r="V16" s="69" t="s">
        <v>2551</v>
      </c>
      <c r="W16" s="81" t="s">
        <v>2523</v>
      </c>
      <c r="X16" s="81" t="s">
        <v>2519</v>
      </c>
      <c r="Y16" s="69" t="s">
        <v>2552</v>
      </c>
      <c r="Z16" s="81"/>
      <c r="AA16" s="81">
        <v>5</v>
      </c>
      <c r="AB16" s="81" t="s">
        <v>2178</v>
      </c>
      <c r="AC16" s="81"/>
      <c r="AD16" s="106">
        <v>1</v>
      </c>
      <c r="AE16" s="107"/>
      <c r="AF16" s="107">
        <f t="shared" si="3"/>
        <v>0</v>
      </c>
      <c r="AG16" s="235"/>
      <c r="AH16" s="236">
        <v>45748</v>
      </c>
      <c r="AI16" s="81" t="s">
        <v>2184</v>
      </c>
      <c r="AJ16" s="236">
        <v>47573</v>
      </c>
      <c r="AK16" s="81" t="s">
        <v>394</v>
      </c>
      <c r="AL16" s="69" t="s">
        <v>2535</v>
      </c>
      <c r="AM16" s="108">
        <v>45741</v>
      </c>
      <c r="AN16" s="81"/>
      <c r="AO16" s="108"/>
      <c r="AP16" s="69"/>
      <c r="AR16" s="59" t="s">
        <v>2589</v>
      </c>
      <c r="AS16" s="169">
        <v>600600</v>
      </c>
      <c r="AT16" s="169">
        <v>406200</v>
      </c>
      <c r="AU16">
        <f t="shared" si="0"/>
        <v>13967400</v>
      </c>
      <c r="AV16">
        <f t="shared" si="1"/>
        <v>9442200</v>
      </c>
      <c r="AX16" s="59" t="str">
        <f>IF(_xlfn.XLOOKUP($AK16,価格表__卸価格[品番],価格表__卸価格[代替],"")=0,"",_xlfn.XLOOKUP($AK16,価格表__卸価格[品番],価格表__卸価格[代替],""))</f>
        <v/>
      </c>
    </row>
    <row r="17" spans="1:50" ht="24.75" customHeight="1">
      <c r="A17" s="81">
        <f t="shared" si="2"/>
        <v>13</v>
      </c>
      <c r="B17" s="81" t="s">
        <v>2426</v>
      </c>
      <c r="C17" s="81"/>
      <c r="D17" s="234"/>
      <c r="E17" s="81"/>
      <c r="F17" s="81"/>
      <c r="G17" s="81" t="s">
        <v>2516</v>
      </c>
      <c r="H17" s="69" t="s">
        <v>2551</v>
      </c>
      <c r="I17" s="69" t="s">
        <v>2258</v>
      </c>
      <c r="J17" s="81" t="s">
        <v>2517</v>
      </c>
      <c r="K17" s="81" t="s">
        <v>2518</v>
      </c>
      <c r="L17" s="81" t="s">
        <v>2519</v>
      </c>
      <c r="M17" s="81" t="s">
        <v>2552</v>
      </c>
      <c r="N17" s="81"/>
      <c r="O17" s="81" t="s">
        <v>2520</v>
      </c>
      <c r="P17" s="69" t="s">
        <v>2553</v>
      </c>
      <c r="Q17" s="81" t="s">
        <v>2521</v>
      </c>
      <c r="R17" s="81" t="s">
        <v>2522</v>
      </c>
      <c r="S17" s="69" t="s">
        <v>2554</v>
      </c>
      <c r="T17" s="69"/>
      <c r="U17" s="81" t="s">
        <v>2516</v>
      </c>
      <c r="V17" s="69" t="s">
        <v>2551</v>
      </c>
      <c r="W17" s="81" t="s">
        <v>2523</v>
      </c>
      <c r="X17" s="81" t="s">
        <v>2519</v>
      </c>
      <c r="Y17" s="69" t="s">
        <v>2552</v>
      </c>
      <c r="Z17" s="81"/>
      <c r="AA17" s="81">
        <v>5</v>
      </c>
      <c r="AB17" s="81" t="s">
        <v>2178</v>
      </c>
      <c r="AC17" s="81"/>
      <c r="AD17" s="106">
        <v>1</v>
      </c>
      <c r="AE17" s="107"/>
      <c r="AF17" s="107">
        <f t="shared" si="3"/>
        <v>0</v>
      </c>
      <c r="AG17" s="235"/>
      <c r="AH17" s="236">
        <v>45748</v>
      </c>
      <c r="AI17" s="81" t="s">
        <v>2184</v>
      </c>
      <c r="AJ17" s="236">
        <v>47573</v>
      </c>
      <c r="AK17" s="81" t="s">
        <v>394</v>
      </c>
      <c r="AL17" s="69" t="s">
        <v>2536</v>
      </c>
      <c r="AM17" s="108">
        <v>45741</v>
      </c>
      <c r="AN17" s="81"/>
      <c r="AO17" s="108"/>
      <c r="AP17" s="69"/>
      <c r="AR17" s="59" t="s">
        <v>2589</v>
      </c>
      <c r="AS17" s="169">
        <v>600600</v>
      </c>
      <c r="AT17" s="169">
        <v>406200</v>
      </c>
      <c r="AU17">
        <f t="shared" si="0"/>
        <v>13967400</v>
      </c>
      <c r="AV17">
        <f t="shared" si="1"/>
        <v>9442200</v>
      </c>
      <c r="AX17" s="59" t="str">
        <f>IF(_xlfn.XLOOKUP($AK17,価格表__卸価格[品番],価格表__卸価格[代替],"")=0,"",_xlfn.XLOOKUP($AK17,価格表__卸価格[品番],価格表__卸価格[代替],""))</f>
        <v/>
      </c>
    </row>
    <row r="18" spans="1:50" ht="24.75" customHeight="1">
      <c r="A18" s="81">
        <f t="shared" si="2"/>
        <v>14</v>
      </c>
      <c r="B18" s="81" t="s">
        <v>2426</v>
      </c>
      <c r="C18" s="81"/>
      <c r="D18" s="234"/>
      <c r="E18" s="81"/>
      <c r="F18" s="81"/>
      <c r="G18" s="81" t="s">
        <v>2516</v>
      </c>
      <c r="H18" s="69" t="s">
        <v>2551</v>
      </c>
      <c r="I18" s="69" t="s">
        <v>2258</v>
      </c>
      <c r="J18" s="81" t="s">
        <v>2517</v>
      </c>
      <c r="K18" s="81" t="s">
        <v>2518</v>
      </c>
      <c r="L18" s="81" t="s">
        <v>2519</v>
      </c>
      <c r="M18" s="81" t="s">
        <v>2552</v>
      </c>
      <c r="N18" s="81"/>
      <c r="O18" s="81" t="s">
        <v>2520</v>
      </c>
      <c r="P18" s="69" t="s">
        <v>2553</v>
      </c>
      <c r="Q18" s="81" t="s">
        <v>2521</v>
      </c>
      <c r="R18" s="81" t="s">
        <v>2522</v>
      </c>
      <c r="S18" s="69" t="s">
        <v>2554</v>
      </c>
      <c r="T18" s="69"/>
      <c r="U18" s="81" t="s">
        <v>2516</v>
      </c>
      <c r="V18" s="69" t="s">
        <v>2551</v>
      </c>
      <c r="W18" s="81" t="s">
        <v>2523</v>
      </c>
      <c r="X18" s="81" t="s">
        <v>2519</v>
      </c>
      <c r="Y18" s="69" t="s">
        <v>2552</v>
      </c>
      <c r="Z18" s="81"/>
      <c r="AA18" s="81">
        <v>5</v>
      </c>
      <c r="AB18" s="81" t="s">
        <v>2178</v>
      </c>
      <c r="AC18" s="81"/>
      <c r="AD18" s="106">
        <v>1</v>
      </c>
      <c r="AE18" s="107"/>
      <c r="AF18" s="107">
        <f t="shared" si="3"/>
        <v>0</v>
      </c>
      <c r="AG18" s="235"/>
      <c r="AH18" s="236">
        <v>45748</v>
      </c>
      <c r="AI18" s="81" t="s">
        <v>2184</v>
      </c>
      <c r="AJ18" s="236">
        <v>47573</v>
      </c>
      <c r="AK18" s="81" t="s">
        <v>394</v>
      </c>
      <c r="AL18" s="69" t="s">
        <v>2537</v>
      </c>
      <c r="AM18" s="108">
        <v>45741</v>
      </c>
      <c r="AN18" s="81"/>
      <c r="AO18" s="108"/>
      <c r="AP18" s="69"/>
      <c r="AR18" s="59" t="s">
        <v>2589</v>
      </c>
      <c r="AS18" s="169">
        <v>600600</v>
      </c>
      <c r="AT18" s="169">
        <v>406200</v>
      </c>
      <c r="AU18">
        <f t="shared" si="0"/>
        <v>13967400</v>
      </c>
      <c r="AV18">
        <f t="shared" si="1"/>
        <v>9442200</v>
      </c>
      <c r="AX18" s="59" t="str">
        <f>IF(_xlfn.XLOOKUP($AK18,価格表__卸価格[品番],価格表__卸価格[代替],"")=0,"",_xlfn.XLOOKUP($AK18,価格表__卸価格[品番],価格表__卸価格[代替],""))</f>
        <v/>
      </c>
    </row>
    <row r="19" spans="1:50" ht="24.75" customHeight="1">
      <c r="A19" s="81">
        <f t="shared" si="2"/>
        <v>15</v>
      </c>
      <c r="B19" s="81" t="s">
        <v>2426</v>
      </c>
      <c r="C19" s="81"/>
      <c r="D19" s="234"/>
      <c r="E19" s="81"/>
      <c r="F19" s="81"/>
      <c r="G19" s="81" t="s">
        <v>2516</v>
      </c>
      <c r="H19" s="69" t="s">
        <v>2551</v>
      </c>
      <c r="I19" s="69" t="s">
        <v>2258</v>
      </c>
      <c r="J19" s="81" t="s">
        <v>2517</v>
      </c>
      <c r="K19" s="81" t="s">
        <v>2518</v>
      </c>
      <c r="L19" s="81" t="s">
        <v>2519</v>
      </c>
      <c r="M19" s="81" t="s">
        <v>2552</v>
      </c>
      <c r="N19" s="81"/>
      <c r="O19" s="81" t="s">
        <v>2520</v>
      </c>
      <c r="P19" s="69" t="s">
        <v>2553</v>
      </c>
      <c r="Q19" s="81" t="s">
        <v>2521</v>
      </c>
      <c r="R19" s="81" t="s">
        <v>2522</v>
      </c>
      <c r="S19" s="69" t="s">
        <v>2554</v>
      </c>
      <c r="T19" s="69"/>
      <c r="U19" s="81" t="s">
        <v>2516</v>
      </c>
      <c r="V19" s="69" t="s">
        <v>2551</v>
      </c>
      <c r="W19" s="81" t="s">
        <v>2523</v>
      </c>
      <c r="X19" s="81" t="s">
        <v>2519</v>
      </c>
      <c r="Y19" s="69" t="s">
        <v>2552</v>
      </c>
      <c r="Z19" s="81"/>
      <c r="AA19" s="81">
        <v>5</v>
      </c>
      <c r="AB19" s="81" t="s">
        <v>2178</v>
      </c>
      <c r="AC19" s="81"/>
      <c r="AD19" s="106">
        <v>1</v>
      </c>
      <c r="AE19" s="107"/>
      <c r="AF19" s="107">
        <f t="shared" si="3"/>
        <v>0</v>
      </c>
      <c r="AG19" s="235"/>
      <c r="AH19" s="236">
        <v>45748</v>
      </c>
      <c r="AI19" s="81" t="s">
        <v>2184</v>
      </c>
      <c r="AJ19" s="236">
        <v>47573</v>
      </c>
      <c r="AK19" s="81" t="s">
        <v>394</v>
      </c>
      <c r="AL19" s="69" t="s">
        <v>2538</v>
      </c>
      <c r="AM19" s="108">
        <v>45741</v>
      </c>
      <c r="AN19" s="81"/>
      <c r="AO19" s="108"/>
      <c r="AP19" s="69"/>
      <c r="AR19" s="59" t="s">
        <v>2589</v>
      </c>
      <c r="AS19" s="169">
        <v>600600</v>
      </c>
      <c r="AT19" s="169">
        <v>406200</v>
      </c>
      <c r="AU19">
        <f t="shared" si="0"/>
        <v>13967400</v>
      </c>
      <c r="AV19">
        <f t="shared" si="1"/>
        <v>9442200</v>
      </c>
      <c r="AX19" s="59" t="str">
        <f>IF(_xlfn.XLOOKUP($AK19,価格表__卸価格[品番],価格表__卸価格[代替],"")=0,"",_xlfn.XLOOKUP($AK19,価格表__卸価格[品番],価格表__卸価格[代替],""))</f>
        <v/>
      </c>
    </row>
    <row r="20" spans="1:50" ht="24.75" customHeight="1">
      <c r="A20" s="81">
        <f t="shared" si="2"/>
        <v>16</v>
      </c>
      <c r="B20" s="81" t="s">
        <v>2426</v>
      </c>
      <c r="C20" s="81"/>
      <c r="D20" s="234"/>
      <c r="E20" s="81"/>
      <c r="F20" s="81"/>
      <c r="G20" s="81" t="s">
        <v>2516</v>
      </c>
      <c r="H20" s="69" t="s">
        <v>2551</v>
      </c>
      <c r="I20" s="69" t="s">
        <v>2258</v>
      </c>
      <c r="J20" s="81" t="s">
        <v>2517</v>
      </c>
      <c r="K20" s="81" t="s">
        <v>2518</v>
      </c>
      <c r="L20" s="81" t="s">
        <v>2519</v>
      </c>
      <c r="M20" s="81" t="s">
        <v>2552</v>
      </c>
      <c r="N20" s="81"/>
      <c r="O20" s="81" t="s">
        <v>2520</v>
      </c>
      <c r="P20" s="69" t="s">
        <v>2553</v>
      </c>
      <c r="Q20" s="81" t="s">
        <v>2521</v>
      </c>
      <c r="R20" s="81" t="s">
        <v>2522</v>
      </c>
      <c r="S20" s="69" t="s">
        <v>2554</v>
      </c>
      <c r="T20" s="69"/>
      <c r="U20" s="81" t="s">
        <v>2516</v>
      </c>
      <c r="V20" s="69" t="s">
        <v>2551</v>
      </c>
      <c r="W20" s="81" t="s">
        <v>2523</v>
      </c>
      <c r="X20" s="81" t="s">
        <v>2519</v>
      </c>
      <c r="Y20" s="69" t="s">
        <v>2552</v>
      </c>
      <c r="Z20" s="81"/>
      <c r="AA20" s="81">
        <v>5</v>
      </c>
      <c r="AB20" s="81" t="s">
        <v>2178</v>
      </c>
      <c r="AC20" s="81"/>
      <c r="AD20" s="106">
        <v>1</v>
      </c>
      <c r="AE20" s="107"/>
      <c r="AF20" s="107">
        <f t="shared" si="3"/>
        <v>0</v>
      </c>
      <c r="AG20" s="235"/>
      <c r="AH20" s="236">
        <v>45748</v>
      </c>
      <c r="AI20" s="81" t="s">
        <v>2184</v>
      </c>
      <c r="AJ20" s="236">
        <v>47573</v>
      </c>
      <c r="AK20" s="81" t="s">
        <v>394</v>
      </c>
      <c r="AL20" s="69" t="s">
        <v>2539</v>
      </c>
      <c r="AM20" s="108">
        <v>45741</v>
      </c>
      <c r="AN20" s="81"/>
      <c r="AO20" s="108"/>
      <c r="AP20" s="69"/>
      <c r="AR20" s="59" t="s">
        <v>2589</v>
      </c>
      <c r="AS20" s="169">
        <v>600600</v>
      </c>
      <c r="AT20" s="169">
        <v>406200</v>
      </c>
      <c r="AU20">
        <f t="shared" si="0"/>
        <v>13967400</v>
      </c>
      <c r="AV20">
        <f t="shared" si="1"/>
        <v>9442200</v>
      </c>
      <c r="AX20" s="59" t="str">
        <f>IF(_xlfn.XLOOKUP($AK20,価格表__卸価格[品番],価格表__卸価格[代替],"")=0,"",_xlfn.XLOOKUP($AK20,価格表__卸価格[品番],価格表__卸価格[代替],""))</f>
        <v/>
      </c>
    </row>
    <row r="21" spans="1:50" ht="24.75" customHeight="1">
      <c r="A21" s="81">
        <f t="shared" si="2"/>
        <v>17</v>
      </c>
      <c r="B21" s="81" t="s">
        <v>2426</v>
      </c>
      <c r="C21" s="81"/>
      <c r="D21" s="234"/>
      <c r="E21" s="81"/>
      <c r="F21" s="81"/>
      <c r="G21" s="81" t="s">
        <v>2516</v>
      </c>
      <c r="H21" s="69" t="s">
        <v>2551</v>
      </c>
      <c r="I21" s="69" t="s">
        <v>2258</v>
      </c>
      <c r="J21" s="81" t="s">
        <v>2517</v>
      </c>
      <c r="K21" s="81" t="s">
        <v>2518</v>
      </c>
      <c r="L21" s="81" t="s">
        <v>2519</v>
      </c>
      <c r="M21" s="81" t="s">
        <v>2552</v>
      </c>
      <c r="N21" s="81"/>
      <c r="O21" s="81" t="s">
        <v>2520</v>
      </c>
      <c r="P21" s="69" t="s">
        <v>2553</v>
      </c>
      <c r="Q21" s="81" t="s">
        <v>2521</v>
      </c>
      <c r="R21" s="81" t="s">
        <v>2522</v>
      </c>
      <c r="S21" s="69" t="s">
        <v>2554</v>
      </c>
      <c r="T21" s="69"/>
      <c r="U21" s="81" t="s">
        <v>2516</v>
      </c>
      <c r="V21" s="69" t="s">
        <v>2551</v>
      </c>
      <c r="W21" s="81" t="s">
        <v>2523</v>
      </c>
      <c r="X21" s="81" t="s">
        <v>2519</v>
      </c>
      <c r="Y21" s="69" t="s">
        <v>2552</v>
      </c>
      <c r="Z21" s="81"/>
      <c r="AA21" s="81">
        <v>5</v>
      </c>
      <c r="AB21" s="81" t="s">
        <v>2178</v>
      </c>
      <c r="AC21" s="81"/>
      <c r="AD21" s="106">
        <v>1</v>
      </c>
      <c r="AE21" s="107"/>
      <c r="AF21" s="107">
        <f t="shared" si="3"/>
        <v>0</v>
      </c>
      <c r="AG21" s="235"/>
      <c r="AH21" s="236">
        <v>45748</v>
      </c>
      <c r="AI21" s="81" t="s">
        <v>2184</v>
      </c>
      <c r="AJ21" s="236">
        <v>47573</v>
      </c>
      <c r="AK21" s="81" t="s">
        <v>394</v>
      </c>
      <c r="AL21" s="69" t="s">
        <v>2540</v>
      </c>
      <c r="AM21" s="108">
        <v>45741</v>
      </c>
      <c r="AN21" s="81"/>
      <c r="AO21" s="108"/>
      <c r="AP21" s="69"/>
      <c r="AR21" s="59" t="s">
        <v>2589</v>
      </c>
      <c r="AS21" s="169">
        <v>600600</v>
      </c>
      <c r="AT21" s="169">
        <v>406200</v>
      </c>
      <c r="AU21">
        <f t="shared" si="0"/>
        <v>13967400</v>
      </c>
      <c r="AV21">
        <f t="shared" si="1"/>
        <v>9442200</v>
      </c>
      <c r="AX21" s="59" t="str">
        <f>IF(_xlfn.XLOOKUP($AK21,価格表__卸価格[品番],価格表__卸価格[代替],"")=0,"",_xlfn.XLOOKUP($AK21,価格表__卸価格[品番],価格表__卸価格[代替],""))</f>
        <v/>
      </c>
    </row>
    <row r="22" spans="1:50" ht="24.75" customHeight="1">
      <c r="A22" s="81">
        <f t="shared" si="2"/>
        <v>18</v>
      </c>
      <c r="B22" s="81" t="s">
        <v>2426</v>
      </c>
      <c r="C22" s="81"/>
      <c r="D22" s="234"/>
      <c r="E22" s="81"/>
      <c r="F22" s="81"/>
      <c r="G22" s="81" t="s">
        <v>2516</v>
      </c>
      <c r="H22" s="69" t="s">
        <v>2551</v>
      </c>
      <c r="I22" s="69" t="s">
        <v>2258</v>
      </c>
      <c r="J22" s="81" t="s">
        <v>2517</v>
      </c>
      <c r="K22" s="81" t="s">
        <v>2518</v>
      </c>
      <c r="L22" s="81" t="s">
        <v>2519</v>
      </c>
      <c r="M22" s="81" t="s">
        <v>2552</v>
      </c>
      <c r="N22" s="81"/>
      <c r="O22" s="81" t="s">
        <v>2520</v>
      </c>
      <c r="P22" s="69" t="s">
        <v>2553</v>
      </c>
      <c r="Q22" s="81" t="s">
        <v>2521</v>
      </c>
      <c r="R22" s="81" t="s">
        <v>2522</v>
      </c>
      <c r="S22" s="69" t="s">
        <v>2554</v>
      </c>
      <c r="T22" s="69"/>
      <c r="U22" s="81" t="s">
        <v>2516</v>
      </c>
      <c r="V22" s="69" t="s">
        <v>2551</v>
      </c>
      <c r="W22" s="81" t="s">
        <v>2523</v>
      </c>
      <c r="X22" s="81" t="s">
        <v>2519</v>
      </c>
      <c r="Y22" s="69" t="s">
        <v>2552</v>
      </c>
      <c r="Z22" s="81"/>
      <c r="AA22" s="81">
        <v>5</v>
      </c>
      <c r="AB22" s="81" t="s">
        <v>2178</v>
      </c>
      <c r="AC22" s="81"/>
      <c r="AD22" s="106">
        <v>1</v>
      </c>
      <c r="AE22" s="107"/>
      <c r="AF22" s="107">
        <f t="shared" si="3"/>
        <v>0</v>
      </c>
      <c r="AG22" s="235"/>
      <c r="AH22" s="236">
        <v>45748</v>
      </c>
      <c r="AI22" s="81" t="s">
        <v>2184</v>
      </c>
      <c r="AJ22" s="236">
        <v>47573</v>
      </c>
      <c r="AK22" s="81" t="s">
        <v>394</v>
      </c>
      <c r="AL22" s="69" t="s">
        <v>2541</v>
      </c>
      <c r="AM22" s="108">
        <v>45741</v>
      </c>
      <c r="AN22" s="81"/>
      <c r="AO22" s="108"/>
      <c r="AP22" s="69"/>
      <c r="AR22" s="59" t="s">
        <v>2589</v>
      </c>
      <c r="AS22" s="169">
        <v>600600</v>
      </c>
      <c r="AT22" s="169">
        <v>406200</v>
      </c>
      <c r="AU22">
        <f t="shared" si="0"/>
        <v>13967400</v>
      </c>
      <c r="AV22">
        <f t="shared" si="1"/>
        <v>9442200</v>
      </c>
      <c r="AX22" s="59" t="str">
        <f>IF(_xlfn.XLOOKUP($AK22,価格表__卸価格[品番],価格表__卸価格[代替],"")=0,"",_xlfn.XLOOKUP($AK22,価格表__卸価格[品番],価格表__卸価格[代替],""))</f>
        <v/>
      </c>
    </row>
    <row r="23" spans="1:50" ht="24.75" customHeight="1">
      <c r="A23" s="81">
        <f t="shared" si="2"/>
        <v>19</v>
      </c>
      <c r="B23" s="81" t="s">
        <v>2426</v>
      </c>
      <c r="C23" s="81"/>
      <c r="D23" s="234"/>
      <c r="E23" s="81"/>
      <c r="F23" s="81"/>
      <c r="G23" s="81" t="s">
        <v>2516</v>
      </c>
      <c r="H23" s="69" t="s">
        <v>2551</v>
      </c>
      <c r="I23" s="69" t="s">
        <v>2258</v>
      </c>
      <c r="J23" s="81" t="s">
        <v>2517</v>
      </c>
      <c r="K23" s="81" t="s">
        <v>2518</v>
      </c>
      <c r="L23" s="81" t="s">
        <v>2519</v>
      </c>
      <c r="M23" s="81" t="s">
        <v>2552</v>
      </c>
      <c r="N23" s="81"/>
      <c r="O23" s="81" t="s">
        <v>2520</v>
      </c>
      <c r="P23" s="69" t="s">
        <v>2553</v>
      </c>
      <c r="Q23" s="81" t="s">
        <v>2521</v>
      </c>
      <c r="R23" s="81" t="s">
        <v>2522</v>
      </c>
      <c r="S23" s="69" t="s">
        <v>2554</v>
      </c>
      <c r="T23" s="69"/>
      <c r="U23" s="81" t="s">
        <v>2516</v>
      </c>
      <c r="V23" s="69" t="s">
        <v>2551</v>
      </c>
      <c r="W23" s="81" t="s">
        <v>2523</v>
      </c>
      <c r="X23" s="81" t="s">
        <v>2519</v>
      </c>
      <c r="Y23" s="69" t="s">
        <v>2552</v>
      </c>
      <c r="Z23" s="81"/>
      <c r="AA23" s="81">
        <v>5</v>
      </c>
      <c r="AB23" s="81" t="s">
        <v>2178</v>
      </c>
      <c r="AC23" s="81"/>
      <c r="AD23" s="106">
        <v>1</v>
      </c>
      <c r="AE23" s="107"/>
      <c r="AF23" s="107">
        <f t="shared" si="3"/>
        <v>0</v>
      </c>
      <c r="AG23" s="235"/>
      <c r="AH23" s="236">
        <v>45748</v>
      </c>
      <c r="AI23" s="81" t="s">
        <v>2184</v>
      </c>
      <c r="AJ23" s="236">
        <v>47573</v>
      </c>
      <c r="AK23" s="81" t="s">
        <v>394</v>
      </c>
      <c r="AL23" s="69" t="s">
        <v>2542</v>
      </c>
      <c r="AM23" s="108">
        <v>45741</v>
      </c>
      <c r="AN23" s="81"/>
      <c r="AO23" s="108"/>
      <c r="AP23" s="69"/>
      <c r="AR23" s="59" t="s">
        <v>2589</v>
      </c>
      <c r="AS23" s="169">
        <v>600600</v>
      </c>
      <c r="AT23" s="169">
        <v>406200</v>
      </c>
      <c r="AU23">
        <f t="shared" si="0"/>
        <v>13967400</v>
      </c>
      <c r="AV23">
        <f t="shared" si="1"/>
        <v>9442200</v>
      </c>
      <c r="AX23" s="59" t="str">
        <f>IF(_xlfn.XLOOKUP($AK23,価格表__卸価格[品番],価格表__卸価格[代替],"")=0,"",_xlfn.XLOOKUP($AK23,価格表__卸価格[品番],価格表__卸価格[代替],""))</f>
        <v/>
      </c>
    </row>
    <row r="24" spans="1:50" ht="24.75" customHeight="1">
      <c r="A24" s="81">
        <f t="shared" si="2"/>
        <v>20</v>
      </c>
      <c r="B24" s="81" t="s">
        <v>2426</v>
      </c>
      <c r="C24" s="81"/>
      <c r="D24" s="234"/>
      <c r="E24" s="81"/>
      <c r="F24" s="81"/>
      <c r="G24" s="81" t="s">
        <v>2516</v>
      </c>
      <c r="H24" s="69" t="s">
        <v>2551</v>
      </c>
      <c r="I24" s="69" t="s">
        <v>2258</v>
      </c>
      <c r="J24" s="81" t="s">
        <v>2517</v>
      </c>
      <c r="K24" s="81" t="s">
        <v>2518</v>
      </c>
      <c r="L24" s="81" t="s">
        <v>2519</v>
      </c>
      <c r="M24" s="81" t="s">
        <v>2552</v>
      </c>
      <c r="N24" s="81"/>
      <c r="O24" s="81" t="s">
        <v>2520</v>
      </c>
      <c r="P24" s="69" t="s">
        <v>2553</v>
      </c>
      <c r="Q24" s="81" t="s">
        <v>2521</v>
      </c>
      <c r="R24" s="81" t="s">
        <v>2522</v>
      </c>
      <c r="S24" s="69" t="s">
        <v>2554</v>
      </c>
      <c r="T24" s="69"/>
      <c r="U24" s="81" t="s">
        <v>2516</v>
      </c>
      <c r="V24" s="69" t="s">
        <v>2551</v>
      </c>
      <c r="W24" s="81" t="s">
        <v>2523</v>
      </c>
      <c r="X24" s="81" t="s">
        <v>2519</v>
      </c>
      <c r="Y24" s="69" t="s">
        <v>2552</v>
      </c>
      <c r="Z24" s="81"/>
      <c r="AA24" s="81">
        <v>5</v>
      </c>
      <c r="AB24" s="81" t="s">
        <v>2178</v>
      </c>
      <c r="AC24" s="81"/>
      <c r="AD24" s="106">
        <v>1</v>
      </c>
      <c r="AE24" s="107"/>
      <c r="AF24" s="107">
        <f t="shared" si="3"/>
        <v>0</v>
      </c>
      <c r="AG24" s="235"/>
      <c r="AH24" s="236">
        <v>45748</v>
      </c>
      <c r="AI24" s="81" t="s">
        <v>2184</v>
      </c>
      <c r="AJ24" s="236">
        <v>47573</v>
      </c>
      <c r="AK24" s="81" t="s">
        <v>394</v>
      </c>
      <c r="AL24" s="69" t="s">
        <v>2543</v>
      </c>
      <c r="AM24" s="108">
        <v>45741</v>
      </c>
      <c r="AN24" s="81"/>
      <c r="AO24" s="108"/>
      <c r="AP24" s="69"/>
      <c r="AR24" s="59" t="s">
        <v>2589</v>
      </c>
      <c r="AS24" s="169">
        <v>600600</v>
      </c>
      <c r="AT24" s="169">
        <v>406200</v>
      </c>
      <c r="AU24">
        <f t="shared" si="0"/>
        <v>13967400</v>
      </c>
      <c r="AV24">
        <f t="shared" si="1"/>
        <v>9442200</v>
      </c>
      <c r="AX24" s="59" t="str">
        <f>IF(_xlfn.XLOOKUP($AK24,価格表__卸価格[品番],価格表__卸価格[代替],"")=0,"",_xlfn.XLOOKUP($AK24,価格表__卸価格[品番],価格表__卸価格[代替],""))</f>
        <v/>
      </c>
    </row>
    <row r="25" spans="1:50" ht="24.75" customHeight="1">
      <c r="A25" s="81">
        <f t="shared" si="2"/>
        <v>21</v>
      </c>
      <c r="B25" s="81" t="s">
        <v>2426</v>
      </c>
      <c r="C25" s="81"/>
      <c r="D25" s="234"/>
      <c r="E25" s="81"/>
      <c r="F25" s="81"/>
      <c r="G25" s="81" t="s">
        <v>2516</v>
      </c>
      <c r="H25" s="69" t="s">
        <v>2551</v>
      </c>
      <c r="I25" s="69" t="s">
        <v>2258</v>
      </c>
      <c r="J25" s="81" t="s">
        <v>2517</v>
      </c>
      <c r="K25" s="81" t="s">
        <v>2518</v>
      </c>
      <c r="L25" s="81" t="s">
        <v>2519</v>
      </c>
      <c r="M25" s="81" t="s">
        <v>2552</v>
      </c>
      <c r="N25" s="81"/>
      <c r="O25" s="81" t="s">
        <v>2520</v>
      </c>
      <c r="P25" s="69" t="s">
        <v>2553</v>
      </c>
      <c r="Q25" s="81" t="s">
        <v>2521</v>
      </c>
      <c r="R25" s="81" t="s">
        <v>2522</v>
      </c>
      <c r="S25" s="69" t="s">
        <v>2554</v>
      </c>
      <c r="T25" s="69"/>
      <c r="U25" s="81" t="s">
        <v>2516</v>
      </c>
      <c r="V25" s="69" t="s">
        <v>2551</v>
      </c>
      <c r="W25" s="81" t="s">
        <v>2523</v>
      </c>
      <c r="X25" s="81" t="s">
        <v>2519</v>
      </c>
      <c r="Y25" s="69" t="s">
        <v>2552</v>
      </c>
      <c r="Z25" s="81"/>
      <c r="AA25" s="81">
        <v>5</v>
      </c>
      <c r="AB25" s="81" t="s">
        <v>2178</v>
      </c>
      <c r="AC25" s="81"/>
      <c r="AD25" s="106">
        <v>1</v>
      </c>
      <c r="AE25" s="107"/>
      <c r="AF25" s="107">
        <f t="shared" si="3"/>
        <v>0</v>
      </c>
      <c r="AG25" s="235"/>
      <c r="AH25" s="236">
        <v>45748</v>
      </c>
      <c r="AI25" s="81" t="s">
        <v>2184</v>
      </c>
      <c r="AJ25" s="236">
        <v>47573</v>
      </c>
      <c r="AK25" s="81" t="s">
        <v>394</v>
      </c>
      <c r="AL25" s="69" t="s">
        <v>2544</v>
      </c>
      <c r="AM25" s="108">
        <v>45741</v>
      </c>
      <c r="AN25" s="81"/>
      <c r="AO25" s="108"/>
      <c r="AP25" s="69"/>
      <c r="AR25" s="59" t="s">
        <v>2589</v>
      </c>
      <c r="AS25" s="169">
        <v>600600</v>
      </c>
      <c r="AT25" s="169">
        <v>406200</v>
      </c>
      <c r="AU25">
        <f t="shared" si="0"/>
        <v>13967400</v>
      </c>
      <c r="AV25">
        <f t="shared" si="1"/>
        <v>9442200</v>
      </c>
      <c r="AX25" s="59" t="str">
        <f>IF(_xlfn.XLOOKUP($AK25,価格表__卸価格[品番],価格表__卸価格[代替],"")=0,"",_xlfn.XLOOKUP($AK25,価格表__卸価格[品番],価格表__卸価格[代替],""))</f>
        <v/>
      </c>
    </row>
    <row r="26" spans="1:50" ht="24.75" customHeight="1">
      <c r="A26" s="81">
        <f t="shared" si="2"/>
        <v>22</v>
      </c>
      <c r="B26" s="81" t="s">
        <v>2426</v>
      </c>
      <c r="C26" s="81"/>
      <c r="D26" s="234"/>
      <c r="E26" s="81"/>
      <c r="F26" s="81"/>
      <c r="G26" s="81" t="s">
        <v>2516</v>
      </c>
      <c r="H26" s="69" t="s">
        <v>2551</v>
      </c>
      <c r="I26" s="69" t="s">
        <v>2258</v>
      </c>
      <c r="J26" s="81" t="s">
        <v>2517</v>
      </c>
      <c r="K26" s="81" t="s">
        <v>2518</v>
      </c>
      <c r="L26" s="81" t="s">
        <v>2519</v>
      </c>
      <c r="M26" s="81" t="s">
        <v>2552</v>
      </c>
      <c r="N26" s="81"/>
      <c r="O26" s="81" t="s">
        <v>2520</v>
      </c>
      <c r="P26" s="69" t="s">
        <v>2553</v>
      </c>
      <c r="Q26" s="81" t="s">
        <v>2521</v>
      </c>
      <c r="R26" s="81" t="s">
        <v>2522</v>
      </c>
      <c r="S26" s="69" t="s">
        <v>2554</v>
      </c>
      <c r="T26" s="69"/>
      <c r="U26" s="81" t="s">
        <v>2516</v>
      </c>
      <c r="V26" s="69" t="s">
        <v>2551</v>
      </c>
      <c r="W26" s="81" t="s">
        <v>2523</v>
      </c>
      <c r="X26" s="81" t="s">
        <v>2519</v>
      </c>
      <c r="Y26" s="69" t="s">
        <v>2552</v>
      </c>
      <c r="Z26" s="81"/>
      <c r="AA26" s="81">
        <v>5</v>
      </c>
      <c r="AB26" s="81" t="s">
        <v>2178</v>
      </c>
      <c r="AC26" s="81"/>
      <c r="AD26" s="106">
        <v>1</v>
      </c>
      <c r="AE26" s="107"/>
      <c r="AF26" s="107">
        <f t="shared" si="3"/>
        <v>0</v>
      </c>
      <c r="AG26" s="235"/>
      <c r="AH26" s="236">
        <v>45748</v>
      </c>
      <c r="AI26" s="81" t="s">
        <v>2184</v>
      </c>
      <c r="AJ26" s="236">
        <v>47573</v>
      </c>
      <c r="AK26" s="81" t="s">
        <v>394</v>
      </c>
      <c r="AL26" s="69" t="s">
        <v>2545</v>
      </c>
      <c r="AM26" s="108">
        <v>45741</v>
      </c>
      <c r="AN26" s="81"/>
      <c r="AO26" s="108"/>
      <c r="AP26" s="69"/>
      <c r="AR26" s="59" t="s">
        <v>2589</v>
      </c>
      <c r="AS26" s="169">
        <v>600600</v>
      </c>
      <c r="AT26" s="169">
        <v>406200</v>
      </c>
      <c r="AU26">
        <f t="shared" si="0"/>
        <v>13967400</v>
      </c>
      <c r="AV26">
        <f t="shared" si="1"/>
        <v>9442200</v>
      </c>
      <c r="AX26" s="59" t="str">
        <f>IF(_xlfn.XLOOKUP($AK26,価格表__卸価格[品番],価格表__卸価格[代替],"")=0,"",_xlfn.XLOOKUP($AK26,価格表__卸価格[品番],価格表__卸価格[代替],""))</f>
        <v/>
      </c>
    </row>
    <row r="27" spans="1:50" ht="24.75" customHeight="1">
      <c r="A27" s="81">
        <f t="shared" si="2"/>
        <v>23</v>
      </c>
      <c r="B27" s="81" t="s">
        <v>2426</v>
      </c>
      <c r="C27" s="81"/>
      <c r="D27" s="234"/>
      <c r="E27" s="81"/>
      <c r="F27" s="81"/>
      <c r="G27" s="81" t="s">
        <v>2516</v>
      </c>
      <c r="H27" s="69" t="s">
        <v>2551</v>
      </c>
      <c r="I27" s="69" t="s">
        <v>2258</v>
      </c>
      <c r="J27" s="81" t="s">
        <v>2517</v>
      </c>
      <c r="K27" s="81" t="s">
        <v>2518</v>
      </c>
      <c r="L27" s="81" t="s">
        <v>2519</v>
      </c>
      <c r="M27" s="81" t="s">
        <v>2552</v>
      </c>
      <c r="N27" s="81"/>
      <c r="O27" s="81" t="s">
        <v>2520</v>
      </c>
      <c r="P27" s="69" t="s">
        <v>2553</v>
      </c>
      <c r="Q27" s="81" t="s">
        <v>2521</v>
      </c>
      <c r="R27" s="81" t="s">
        <v>2522</v>
      </c>
      <c r="S27" s="69" t="s">
        <v>2554</v>
      </c>
      <c r="T27" s="69"/>
      <c r="U27" s="81" t="s">
        <v>2516</v>
      </c>
      <c r="V27" s="69" t="s">
        <v>2551</v>
      </c>
      <c r="W27" s="81" t="s">
        <v>2523</v>
      </c>
      <c r="X27" s="81" t="s">
        <v>2519</v>
      </c>
      <c r="Y27" s="69" t="s">
        <v>2552</v>
      </c>
      <c r="Z27" s="81"/>
      <c r="AA27" s="81">
        <v>5</v>
      </c>
      <c r="AB27" s="81" t="s">
        <v>2178</v>
      </c>
      <c r="AC27" s="81"/>
      <c r="AD27" s="106">
        <v>1</v>
      </c>
      <c r="AE27" s="107"/>
      <c r="AF27" s="107">
        <f t="shared" si="3"/>
        <v>0</v>
      </c>
      <c r="AG27" s="235"/>
      <c r="AH27" s="236">
        <v>45748</v>
      </c>
      <c r="AI27" s="81" t="s">
        <v>2184</v>
      </c>
      <c r="AJ27" s="236">
        <v>47573</v>
      </c>
      <c r="AK27" s="81" t="s">
        <v>447</v>
      </c>
      <c r="AL27" s="69" t="s">
        <v>2546</v>
      </c>
      <c r="AM27" s="108">
        <v>45741</v>
      </c>
      <c r="AN27" s="81"/>
      <c r="AO27" s="108"/>
      <c r="AP27" s="69"/>
      <c r="AR27" s="59" t="s">
        <v>2590</v>
      </c>
      <c r="AS27" s="169">
        <v>251400</v>
      </c>
      <c r="AT27" s="169">
        <v>168600</v>
      </c>
      <c r="AU27">
        <f t="shared" si="0"/>
        <v>13967400</v>
      </c>
      <c r="AV27">
        <f t="shared" si="1"/>
        <v>9442200</v>
      </c>
      <c r="AX27" s="59" t="str">
        <f>IF(_xlfn.XLOOKUP($AK27,価格表__卸価格[品番],価格表__卸価格[代替],"")=0,"",_xlfn.XLOOKUP($AK27,価格表__卸価格[品番],価格表__卸価格[代替],""))</f>
        <v/>
      </c>
    </row>
    <row r="28" spans="1:50" ht="24.75" customHeight="1">
      <c r="A28" s="81">
        <f t="shared" si="2"/>
        <v>24</v>
      </c>
      <c r="B28" s="81" t="s">
        <v>2426</v>
      </c>
      <c r="C28" s="81"/>
      <c r="D28" s="234"/>
      <c r="E28" s="81"/>
      <c r="F28" s="81"/>
      <c r="G28" s="81" t="s">
        <v>2516</v>
      </c>
      <c r="H28" s="69" t="s">
        <v>2551</v>
      </c>
      <c r="I28" s="69" t="s">
        <v>2258</v>
      </c>
      <c r="J28" s="81" t="s">
        <v>2517</v>
      </c>
      <c r="K28" s="81" t="s">
        <v>2518</v>
      </c>
      <c r="L28" s="81" t="s">
        <v>2519</v>
      </c>
      <c r="M28" s="81" t="s">
        <v>2552</v>
      </c>
      <c r="N28" s="81"/>
      <c r="O28" s="81" t="s">
        <v>2520</v>
      </c>
      <c r="P28" s="69" t="s">
        <v>2553</v>
      </c>
      <c r="Q28" s="81" t="s">
        <v>2521</v>
      </c>
      <c r="R28" s="81" t="s">
        <v>2522</v>
      </c>
      <c r="S28" s="69" t="s">
        <v>2554</v>
      </c>
      <c r="T28" s="69"/>
      <c r="U28" s="81" t="s">
        <v>2516</v>
      </c>
      <c r="V28" s="69" t="s">
        <v>2551</v>
      </c>
      <c r="W28" s="81" t="s">
        <v>2523</v>
      </c>
      <c r="X28" s="81" t="s">
        <v>2519</v>
      </c>
      <c r="Y28" s="69" t="s">
        <v>2552</v>
      </c>
      <c r="Z28" s="81"/>
      <c r="AA28" s="81">
        <v>5</v>
      </c>
      <c r="AB28" s="81" t="s">
        <v>2178</v>
      </c>
      <c r="AC28" s="81"/>
      <c r="AD28" s="106">
        <v>1</v>
      </c>
      <c r="AE28" s="107"/>
      <c r="AF28" s="107">
        <f t="shared" si="3"/>
        <v>0</v>
      </c>
      <c r="AG28" s="235"/>
      <c r="AH28" s="236">
        <v>45748</v>
      </c>
      <c r="AI28" s="81" t="s">
        <v>2184</v>
      </c>
      <c r="AJ28" s="236">
        <v>47573</v>
      </c>
      <c r="AK28" s="81" t="s">
        <v>447</v>
      </c>
      <c r="AL28" s="69" t="s">
        <v>2547</v>
      </c>
      <c r="AM28" s="108">
        <v>45741</v>
      </c>
      <c r="AN28" s="81"/>
      <c r="AO28" s="108"/>
      <c r="AP28" s="69"/>
      <c r="AR28" s="59" t="s">
        <v>2590</v>
      </c>
      <c r="AS28" s="169">
        <v>251400</v>
      </c>
      <c r="AT28" s="169">
        <v>168600</v>
      </c>
      <c r="AU28">
        <f t="shared" si="0"/>
        <v>13967400</v>
      </c>
      <c r="AV28">
        <f t="shared" si="1"/>
        <v>9442200</v>
      </c>
      <c r="AX28" s="59" t="str">
        <f>IF(_xlfn.XLOOKUP($AK28,価格表__卸価格[品番],価格表__卸価格[代替],"")=0,"",_xlfn.XLOOKUP($AK28,価格表__卸価格[品番],価格表__卸価格[代替],""))</f>
        <v/>
      </c>
    </row>
    <row r="29" spans="1:50" ht="24.75" customHeight="1">
      <c r="A29" s="81">
        <f t="shared" si="2"/>
        <v>25</v>
      </c>
      <c r="B29" s="81" t="s">
        <v>2426</v>
      </c>
      <c r="C29" s="81"/>
      <c r="D29" s="234"/>
      <c r="E29" s="81"/>
      <c r="F29" s="81"/>
      <c r="G29" s="81" t="s">
        <v>2516</v>
      </c>
      <c r="H29" s="69" t="s">
        <v>2551</v>
      </c>
      <c r="I29" s="69" t="s">
        <v>2258</v>
      </c>
      <c r="J29" s="81" t="s">
        <v>2517</v>
      </c>
      <c r="K29" s="81" t="s">
        <v>2518</v>
      </c>
      <c r="L29" s="81" t="s">
        <v>2519</v>
      </c>
      <c r="M29" s="81" t="s">
        <v>2552</v>
      </c>
      <c r="N29" s="81"/>
      <c r="O29" s="81" t="s">
        <v>2520</v>
      </c>
      <c r="P29" s="69" t="s">
        <v>2553</v>
      </c>
      <c r="Q29" s="81" t="s">
        <v>2521</v>
      </c>
      <c r="R29" s="81" t="s">
        <v>2522</v>
      </c>
      <c r="S29" s="69" t="s">
        <v>2554</v>
      </c>
      <c r="T29" s="69"/>
      <c r="U29" s="81" t="s">
        <v>2516</v>
      </c>
      <c r="V29" s="69" t="s">
        <v>2551</v>
      </c>
      <c r="W29" s="81" t="s">
        <v>2523</v>
      </c>
      <c r="X29" s="81" t="s">
        <v>2519</v>
      </c>
      <c r="Y29" s="69" t="s">
        <v>2552</v>
      </c>
      <c r="Z29" s="81"/>
      <c r="AA29" s="81">
        <v>5</v>
      </c>
      <c r="AB29" s="81" t="s">
        <v>2178</v>
      </c>
      <c r="AC29" s="81"/>
      <c r="AD29" s="106">
        <v>1</v>
      </c>
      <c r="AE29" s="107"/>
      <c r="AF29" s="107">
        <f t="shared" si="3"/>
        <v>0</v>
      </c>
      <c r="AG29" s="235"/>
      <c r="AH29" s="236">
        <v>45748</v>
      </c>
      <c r="AI29" s="81" t="s">
        <v>2184</v>
      </c>
      <c r="AJ29" s="236">
        <v>47573</v>
      </c>
      <c r="AK29" s="81" t="s">
        <v>447</v>
      </c>
      <c r="AL29" s="69" t="s">
        <v>2548</v>
      </c>
      <c r="AM29" s="108">
        <v>45741</v>
      </c>
      <c r="AN29" s="81"/>
      <c r="AO29" s="108"/>
      <c r="AP29" s="69"/>
      <c r="AR29" s="59" t="s">
        <v>2590</v>
      </c>
      <c r="AS29" s="169">
        <v>251400</v>
      </c>
      <c r="AT29" s="169">
        <v>168600</v>
      </c>
      <c r="AU29">
        <f t="shared" si="0"/>
        <v>13967400</v>
      </c>
      <c r="AV29">
        <f t="shared" si="1"/>
        <v>9442200</v>
      </c>
      <c r="AX29" s="59" t="str">
        <f>IF(_xlfn.XLOOKUP($AK29,価格表__卸価格[品番],価格表__卸価格[代替],"")=0,"",_xlfn.XLOOKUP($AK29,価格表__卸価格[品番],価格表__卸価格[代替],""))</f>
        <v/>
      </c>
    </row>
    <row r="30" spans="1:50" ht="24.75" customHeight="1">
      <c r="A30" s="81">
        <f t="shared" si="2"/>
        <v>26</v>
      </c>
      <c r="B30" s="81" t="s">
        <v>2426</v>
      </c>
      <c r="C30" s="81"/>
      <c r="D30" s="234"/>
      <c r="E30" s="81"/>
      <c r="F30" s="81"/>
      <c r="G30" s="81" t="s">
        <v>2516</v>
      </c>
      <c r="H30" s="69" t="s">
        <v>2551</v>
      </c>
      <c r="I30" s="69" t="s">
        <v>2258</v>
      </c>
      <c r="J30" s="81" t="s">
        <v>2517</v>
      </c>
      <c r="K30" s="81" t="s">
        <v>2518</v>
      </c>
      <c r="L30" s="81" t="s">
        <v>2519</v>
      </c>
      <c r="M30" s="81" t="s">
        <v>2552</v>
      </c>
      <c r="N30" s="81"/>
      <c r="O30" s="81" t="s">
        <v>2520</v>
      </c>
      <c r="P30" s="69" t="s">
        <v>2553</v>
      </c>
      <c r="Q30" s="81" t="s">
        <v>2521</v>
      </c>
      <c r="R30" s="81" t="s">
        <v>2522</v>
      </c>
      <c r="S30" s="69" t="s">
        <v>2554</v>
      </c>
      <c r="T30" s="69"/>
      <c r="U30" s="81" t="s">
        <v>2516</v>
      </c>
      <c r="V30" s="69" t="s">
        <v>2551</v>
      </c>
      <c r="W30" s="81" t="s">
        <v>2523</v>
      </c>
      <c r="X30" s="81" t="s">
        <v>2519</v>
      </c>
      <c r="Y30" s="69" t="s">
        <v>2552</v>
      </c>
      <c r="Z30" s="81"/>
      <c r="AA30" s="81">
        <v>5</v>
      </c>
      <c r="AB30" s="81" t="s">
        <v>2178</v>
      </c>
      <c r="AC30" s="81"/>
      <c r="AD30" s="106">
        <v>1</v>
      </c>
      <c r="AE30" s="107"/>
      <c r="AF30" s="107">
        <f t="shared" si="3"/>
        <v>0</v>
      </c>
      <c r="AG30" s="235"/>
      <c r="AH30" s="236">
        <v>45748</v>
      </c>
      <c r="AI30" s="81" t="s">
        <v>2184</v>
      </c>
      <c r="AJ30" s="236">
        <v>47573</v>
      </c>
      <c r="AK30" s="81" t="s">
        <v>2469</v>
      </c>
      <c r="AL30" s="69" t="s">
        <v>2549</v>
      </c>
      <c r="AM30" s="108">
        <v>45741</v>
      </c>
      <c r="AN30" s="81"/>
      <c r="AO30" s="108"/>
      <c r="AP30" s="69"/>
      <c r="AU30">
        <f t="shared" si="0"/>
        <v>13967400</v>
      </c>
      <c r="AV30">
        <f t="shared" si="1"/>
        <v>9442200</v>
      </c>
      <c r="AX30" s="59" t="str">
        <f>IF(_xlfn.XLOOKUP($AK30,価格表__卸価格[品番],価格表__卸価格[代替],"")=0,"",_xlfn.XLOOKUP($AK30,価格表__卸価格[品番],価格表__卸価格[代替],""))</f>
        <v/>
      </c>
    </row>
    <row r="31" spans="1:50" ht="24.75" customHeight="1">
      <c r="A31" s="81">
        <f t="shared" si="2"/>
        <v>27</v>
      </c>
      <c r="B31" s="81" t="s">
        <v>2426</v>
      </c>
      <c r="C31" s="81"/>
      <c r="D31" s="234"/>
      <c r="E31" s="81"/>
      <c r="F31" s="81"/>
      <c r="G31" s="81" t="s">
        <v>2516</v>
      </c>
      <c r="H31" s="69" t="s">
        <v>2551</v>
      </c>
      <c r="I31" s="69" t="s">
        <v>2258</v>
      </c>
      <c r="J31" s="81" t="s">
        <v>2517</v>
      </c>
      <c r="K31" s="81" t="s">
        <v>2518</v>
      </c>
      <c r="L31" s="81" t="s">
        <v>2519</v>
      </c>
      <c r="M31" s="81" t="s">
        <v>2552</v>
      </c>
      <c r="N31" s="81"/>
      <c r="O31" s="81" t="s">
        <v>2520</v>
      </c>
      <c r="P31" s="69" t="s">
        <v>2553</v>
      </c>
      <c r="Q31" s="81" t="s">
        <v>2521</v>
      </c>
      <c r="R31" s="81" t="s">
        <v>2522</v>
      </c>
      <c r="S31" s="69" t="s">
        <v>2554</v>
      </c>
      <c r="T31" s="69"/>
      <c r="U31" s="81" t="s">
        <v>2516</v>
      </c>
      <c r="V31" s="69" t="s">
        <v>2551</v>
      </c>
      <c r="W31" s="81" t="s">
        <v>2523</v>
      </c>
      <c r="X31" s="81" t="s">
        <v>2519</v>
      </c>
      <c r="Y31" s="69" t="s">
        <v>2552</v>
      </c>
      <c r="Z31" s="81"/>
      <c r="AA31" s="81">
        <v>5</v>
      </c>
      <c r="AB31" s="81" t="s">
        <v>2178</v>
      </c>
      <c r="AC31" s="81"/>
      <c r="AD31" s="106">
        <v>1</v>
      </c>
      <c r="AE31" s="107"/>
      <c r="AF31" s="107">
        <f t="shared" si="3"/>
        <v>0</v>
      </c>
      <c r="AG31" s="235"/>
      <c r="AH31" s="236">
        <v>45748</v>
      </c>
      <c r="AI31" s="81" t="s">
        <v>2184</v>
      </c>
      <c r="AJ31" s="236">
        <v>47573</v>
      </c>
      <c r="AK31" s="81" t="s">
        <v>2469</v>
      </c>
      <c r="AL31" s="69" t="s">
        <v>2550</v>
      </c>
      <c r="AM31" s="108">
        <v>45741</v>
      </c>
      <c r="AN31" s="81"/>
      <c r="AO31" s="108"/>
      <c r="AP31" s="69"/>
      <c r="AU31">
        <f t="shared" si="0"/>
        <v>13967400</v>
      </c>
      <c r="AV31">
        <f t="shared" si="1"/>
        <v>9442200</v>
      </c>
      <c r="AX31" s="59" t="str">
        <f>IF(_xlfn.XLOOKUP($AK31,価格表__卸価格[品番],価格表__卸価格[代替],"")=0,"",_xlfn.XLOOKUP($AK31,価格表__卸価格[品番],価格表__卸価格[代替],""))</f>
        <v/>
      </c>
    </row>
  </sheetData>
  <autoFilter ref="A4:AX4" xr:uid="{00000000-0001-0000-0100-000000000000}"/>
  <mergeCells count="6">
    <mergeCell ref="AH3:AJ3"/>
    <mergeCell ref="C3:D3"/>
    <mergeCell ref="G3:N3"/>
    <mergeCell ref="O3:T3"/>
    <mergeCell ref="U3:Z3"/>
    <mergeCell ref="AA3:AC3"/>
  </mergeCells>
  <phoneticPr fontId="7"/>
  <conditionalFormatting sqref="AU3:AV4">
    <cfRule type="expression" dxfId="23" priority="61" stopIfTrue="1">
      <formula>#REF!=#REF!</formula>
    </cfRule>
  </conditionalFormatting>
  <conditionalFormatting sqref="AU5:AV31">
    <cfRule type="expression" dxfId="22" priority="62" stopIfTrue="1">
      <formula>$B5=$B6</formula>
    </cfRule>
    <cfRule type="expression" dxfId="21" priority="63" stopIfTrue="1">
      <formula>$B5=$B6</formula>
    </cfRule>
  </conditionalFormatting>
  <printOptions horizontalCentered="1"/>
  <pageMargins left="0" right="0" top="0.59055118110236227" bottom="0.39370078740157483" header="0.51181102362204722" footer="0.51181102362204722"/>
  <pageSetup paperSize="8" scale="27" fitToHeight="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BD2-AE43-4432-BCA5-87066DF0A379}">
  <sheetPr codeName="Sheet5">
    <tabColor indexed="44"/>
    <pageSetUpPr fitToPage="1"/>
  </sheetPr>
  <dimension ref="A1:AX23"/>
  <sheetViews>
    <sheetView tabSelected="1" zoomScale="85" zoomScaleNormal="85" workbookViewId="0"/>
  </sheetViews>
  <sheetFormatPr defaultColWidth="9" defaultRowHeight="24.75" customHeight="1"/>
  <cols>
    <col min="1" max="1" width="6.125" style="59" bestFit="1" customWidth="1"/>
    <col min="2" max="2" width="12.25" style="59" customWidth="1"/>
    <col min="3" max="3" width="22.5" style="59" bestFit="1" customWidth="1"/>
    <col min="4" max="4" width="8" style="88" customWidth="1"/>
    <col min="5" max="5" width="7.125" style="59" hidden="1" customWidth="1"/>
    <col min="6" max="6" width="9.125" style="59" hidden="1" customWidth="1"/>
    <col min="7" max="7" width="21.375" style="59" customWidth="1"/>
    <col min="8" max="8" width="10.75" style="60" bestFit="1" customWidth="1"/>
    <col min="9" max="9" width="14" style="60" bestFit="1" customWidth="1"/>
    <col min="10" max="10" width="35.25" style="59" customWidth="1"/>
    <col min="11" max="11" width="25.5" style="59" customWidth="1"/>
    <col min="12" max="12" width="4.875" style="59" customWidth="1"/>
    <col min="13" max="13" width="12.75" style="59" customWidth="1"/>
    <col min="14" max="14" width="11.625" style="59" customWidth="1"/>
    <col min="15" max="15" width="22.125" style="59" customWidth="1"/>
    <col min="16" max="16" width="10.75" style="60" bestFit="1" customWidth="1"/>
    <col min="17" max="17" width="39.25" style="59" customWidth="1"/>
    <col min="18" max="18" width="17" style="59" customWidth="1"/>
    <col min="19" max="19" width="15.5" style="60" bestFit="1" customWidth="1"/>
    <col min="20" max="20" width="15.5" style="60" customWidth="1"/>
    <col min="21" max="21" width="17.375" style="59" customWidth="1"/>
    <col min="22" max="22" width="10.75" style="60" bestFit="1" customWidth="1"/>
    <col min="23" max="23" width="27.125" style="59" customWidth="1"/>
    <col min="24" max="24" width="18.5" style="59" customWidth="1"/>
    <col min="25" max="25" width="15.5" style="60" bestFit="1" customWidth="1"/>
    <col min="26" max="26" width="12.125" style="59" customWidth="1"/>
    <col min="27" max="27" width="5.125" style="59" customWidth="1"/>
    <col min="28" max="28" width="5.5" style="59" customWidth="1"/>
    <col min="29" max="29" width="8.625" style="59" bestFit="1" customWidth="1"/>
    <col min="30" max="30" width="5.875" style="89" bestFit="1" customWidth="1"/>
    <col min="31" max="31" width="8.25" style="90" bestFit="1" customWidth="1"/>
    <col min="32" max="32" width="10.25" style="90" bestFit="1" customWidth="1"/>
    <col min="33" max="33" width="11.25" style="64" customWidth="1"/>
    <col min="34" max="34" width="11.5" style="60" customWidth="1"/>
    <col min="35" max="35" width="3.875" style="59" customWidth="1"/>
    <col min="36" max="36" width="11.5" style="60" customWidth="1"/>
    <col min="37" max="37" width="15.5" style="59" customWidth="1"/>
    <col min="38" max="38" width="16.375" style="60" customWidth="1"/>
    <col min="39" max="39" width="13" style="60" customWidth="1"/>
    <col min="40" max="40" width="17" style="59" customWidth="1"/>
    <col min="41" max="41" width="16.125" style="91" customWidth="1"/>
    <col min="42" max="42" width="18" style="59" customWidth="1"/>
    <col min="43" max="16384" width="9" style="59"/>
  </cols>
  <sheetData>
    <row r="1" spans="1:50" ht="24.75" customHeight="1">
      <c r="B1" s="57" t="s">
        <v>88</v>
      </c>
      <c r="C1" s="57"/>
      <c r="D1" s="58"/>
      <c r="E1" s="57"/>
      <c r="F1" s="57"/>
    </row>
    <row r="2" spans="1:50" s="60" customFormat="1" ht="24.75" customHeight="1">
      <c r="B2" s="65" t="s">
        <v>33</v>
      </c>
      <c r="C2" s="273" t="s">
        <v>34</v>
      </c>
      <c r="D2" s="274"/>
      <c r="E2" s="66"/>
      <c r="F2" s="66"/>
      <c r="G2" s="277" t="s">
        <v>36</v>
      </c>
      <c r="H2" s="277"/>
      <c r="I2" s="277"/>
      <c r="J2" s="277"/>
      <c r="K2" s="277"/>
      <c r="L2" s="277"/>
      <c r="M2" s="277"/>
      <c r="N2" s="277"/>
      <c r="O2" s="278" t="s">
        <v>37</v>
      </c>
      <c r="P2" s="278"/>
      <c r="Q2" s="278"/>
      <c r="R2" s="278"/>
      <c r="S2" s="278"/>
      <c r="T2" s="278"/>
      <c r="U2" s="279" t="s">
        <v>38</v>
      </c>
      <c r="V2" s="279"/>
      <c r="W2" s="279"/>
      <c r="X2" s="279"/>
      <c r="Y2" s="279"/>
      <c r="Z2" s="279"/>
      <c r="AA2" s="265" t="s">
        <v>80</v>
      </c>
      <c r="AB2" s="266"/>
      <c r="AC2" s="267"/>
      <c r="AD2" s="92" t="s">
        <v>40</v>
      </c>
      <c r="AE2" s="92" t="s">
        <v>41</v>
      </c>
      <c r="AF2" s="92" t="s">
        <v>42</v>
      </c>
      <c r="AG2" s="93" t="s">
        <v>43</v>
      </c>
      <c r="AH2" s="265" t="s">
        <v>44</v>
      </c>
      <c r="AI2" s="266"/>
      <c r="AJ2" s="266"/>
      <c r="AK2" s="65" t="s">
        <v>45</v>
      </c>
      <c r="AL2" s="65" t="s">
        <v>46</v>
      </c>
      <c r="AM2" s="65" t="s">
        <v>47</v>
      </c>
      <c r="AN2" s="65" t="s">
        <v>52</v>
      </c>
      <c r="AO2" s="94" t="s">
        <v>49</v>
      </c>
      <c r="AP2" s="95"/>
    </row>
    <row r="3" spans="1:50" ht="24.75" customHeight="1">
      <c r="B3" s="77"/>
      <c r="C3" s="70" t="s">
        <v>53</v>
      </c>
      <c r="D3" s="71" t="s">
        <v>54</v>
      </c>
      <c r="E3" s="70"/>
      <c r="F3" s="70"/>
      <c r="G3" s="70" t="s">
        <v>57</v>
      </c>
      <c r="H3" s="70" t="s">
        <v>58</v>
      </c>
      <c r="I3" s="70" t="s">
        <v>59</v>
      </c>
      <c r="J3" s="70" t="s">
        <v>64</v>
      </c>
      <c r="K3" s="70" t="s">
        <v>61</v>
      </c>
      <c r="L3" s="70" t="s">
        <v>81</v>
      </c>
      <c r="M3" s="70" t="s">
        <v>62</v>
      </c>
      <c r="N3" s="70" t="s">
        <v>63</v>
      </c>
      <c r="O3" s="70" t="s">
        <v>57</v>
      </c>
      <c r="P3" s="70" t="s">
        <v>58</v>
      </c>
      <c r="Q3" s="70" t="s">
        <v>64</v>
      </c>
      <c r="R3" s="70" t="s">
        <v>61</v>
      </c>
      <c r="S3" s="70" t="s">
        <v>62</v>
      </c>
      <c r="T3" s="70" t="s">
        <v>63</v>
      </c>
      <c r="U3" s="70" t="s">
        <v>57</v>
      </c>
      <c r="V3" s="70" t="s">
        <v>58</v>
      </c>
      <c r="W3" s="70" t="s">
        <v>64</v>
      </c>
      <c r="X3" s="70" t="s">
        <v>61</v>
      </c>
      <c r="Y3" s="70" t="s">
        <v>62</v>
      </c>
      <c r="Z3" s="70" t="s">
        <v>63</v>
      </c>
      <c r="AA3" s="73" t="s">
        <v>82</v>
      </c>
      <c r="AB3" s="78" t="s">
        <v>83</v>
      </c>
      <c r="AC3" s="96" t="s">
        <v>84</v>
      </c>
      <c r="AD3" s="97"/>
      <c r="AE3" s="98"/>
      <c r="AF3" s="98"/>
      <c r="AG3" s="99"/>
      <c r="AH3" s="100" t="s">
        <v>89</v>
      </c>
      <c r="AI3" s="78"/>
      <c r="AJ3" s="101" t="s">
        <v>90</v>
      </c>
      <c r="AK3" s="77"/>
      <c r="AL3" s="77"/>
      <c r="AM3" s="103"/>
      <c r="AN3" s="103"/>
      <c r="AO3" s="102"/>
      <c r="AP3" s="70" t="s">
        <v>50</v>
      </c>
      <c r="AX3" s="104" t="s">
        <v>87</v>
      </c>
    </row>
    <row r="4" spans="1:50" ht="24.75" customHeight="1">
      <c r="A4" s="105">
        <v>1</v>
      </c>
      <c r="B4" s="69" t="s">
        <v>91</v>
      </c>
      <c r="C4" s="80" t="s">
        <v>92</v>
      </c>
      <c r="D4" s="80" t="s">
        <v>93</v>
      </c>
      <c r="E4" s="69"/>
      <c r="F4" s="69"/>
      <c r="G4" s="81" t="s">
        <v>94</v>
      </c>
      <c r="H4" s="69" t="s">
        <v>95</v>
      </c>
      <c r="I4" s="69" t="s">
        <v>96</v>
      </c>
      <c r="J4" s="81" t="s">
        <v>97</v>
      </c>
      <c r="K4" s="81"/>
      <c r="L4" s="81"/>
      <c r="M4" s="81" t="s">
        <v>98</v>
      </c>
      <c r="N4" s="81"/>
      <c r="O4" s="81" t="s">
        <v>99</v>
      </c>
      <c r="P4" s="69" t="s">
        <v>100</v>
      </c>
      <c r="Q4" s="81" t="s">
        <v>101</v>
      </c>
      <c r="R4" s="81" t="s">
        <v>102</v>
      </c>
      <c r="S4" s="69" t="s">
        <v>103</v>
      </c>
      <c r="T4" s="69"/>
      <c r="U4" s="81" t="s">
        <v>99</v>
      </c>
      <c r="V4" s="69" t="s">
        <v>100</v>
      </c>
      <c r="W4" s="81" t="s">
        <v>101</v>
      </c>
      <c r="X4" s="81" t="s">
        <v>102</v>
      </c>
      <c r="Y4" s="69" t="s">
        <v>103</v>
      </c>
      <c r="Z4" s="81"/>
      <c r="AA4" s="69">
        <v>5</v>
      </c>
      <c r="AB4" s="69" t="s">
        <v>104</v>
      </c>
      <c r="AC4" s="82" t="s">
        <v>105</v>
      </c>
      <c r="AD4" s="106">
        <v>1</v>
      </c>
      <c r="AE4" s="107">
        <v>76500</v>
      </c>
      <c r="AF4" s="107">
        <f>IF(ISBLANK($AE4),"",$AE4*$AD4)</f>
        <v>76500</v>
      </c>
      <c r="AG4" s="83">
        <v>45566</v>
      </c>
      <c r="AH4" s="84">
        <v>45566</v>
      </c>
      <c r="AI4" s="85" t="str">
        <f t="shared" ref="AI4:AI23" si="0">IF(ISBLANK($AG4),"","～")</f>
        <v>～</v>
      </c>
      <c r="AJ4" s="86">
        <f t="shared" ref="AJ4:AJ23" si="1">IF(ISBLANK($AH4),"",DATE(YEAR($AH4)+$AA4,MONTH($AH4),DAY($AH4)-1))</f>
        <v>47391</v>
      </c>
      <c r="AK4" s="69" t="s">
        <v>77</v>
      </c>
      <c r="AL4" s="69" t="s">
        <v>106</v>
      </c>
      <c r="AM4" s="109">
        <v>45547</v>
      </c>
      <c r="AN4" s="81"/>
      <c r="AO4" s="108">
        <v>45582</v>
      </c>
      <c r="AP4" s="81" t="s">
        <v>107</v>
      </c>
    </row>
    <row r="5" spans="1:50" ht="24.75" customHeight="1">
      <c r="A5" s="105">
        <v>2</v>
      </c>
      <c r="B5" s="69" t="s">
        <v>91</v>
      </c>
      <c r="C5" s="80" t="s">
        <v>92</v>
      </c>
      <c r="D5" s="80" t="s">
        <v>93</v>
      </c>
      <c r="E5" s="69"/>
      <c r="F5" s="69"/>
      <c r="G5" s="81" t="s">
        <v>94</v>
      </c>
      <c r="H5" s="69" t="s">
        <v>95</v>
      </c>
      <c r="I5" s="69" t="s">
        <v>96</v>
      </c>
      <c r="J5" s="81" t="s">
        <v>97</v>
      </c>
      <c r="K5" s="81"/>
      <c r="L5" s="81"/>
      <c r="M5" s="81" t="s">
        <v>98</v>
      </c>
      <c r="N5" s="81"/>
      <c r="O5" s="81" t="s">
        <v>99</v>
      </c>
      <c r="P5" s="69" t="s">
        <v>100</v>
      </c>
      <c r="Q5" s="81" t="s">
        <v>101</v>
      </c>
      <c r="R5" s="81" t="s">
        <v>102</v>
      </c>
      <c r="S5" s="69" t="s">
        <v>103</v>
      </c>
      <c r="T5" s="69"/>
      <c r="U5" s="81" t="s">
        <v>99</v>
      </c>
      <c r="V5" s="69" t="s">
        <v>100</v>
      </c>
      <c r="W5" s="81" t="s">
        <v>101</v>
      </c>
      <c r="X5" s="81" t="s">
        <v>102</v>
      </c>
      <c r="Y5" s="69" t="s">
        <v>103</v>
      </c>
      <c r="Z5" s="81"/>
      <c r="AA5" s="69">
        <v>5</v>
      </c>
      <c r="AB5" s="69" t="s">
        <v>104</v>
      </c>
      <c r="AC5" s="82" t="s">
        <v>105</v>
      </c>
      <c r="AD5" s="106">
        <v>1</v>
      </c>
      <c r="AE5" s="110"/>
      <c r="AF5" s="110"/>
      <c r="AG5" s="83">
        <v>45566</v>
      </c>
      <c r="AH5" s="84">
        <v>45566</v>
      </c>
      <c r="AI5" s="85" t="str">
        <f t="shared" si="0"/>
        <v>～</v>
      </c>
      <c r="AJ5" s="86">
        <f t="shared" si="1"/>
        <v>47391</v>
      </c>
      <c r="AK5" s="69" t="s">
        <v>77</v>
      </c>
      <c r="AL5" s="69" t="s">
        <v>108</v>
      </c>
      <c r="AM5" s="109">
        <v>45547</v>
      </c>
      <c r="AN5" s="81"/>
      <c r="AO5" s="108">
        <v>45582</v>
      </c>
      <c r="AP5" s="81" t="s">
        <v>107</v>
      </c>
    </row>
    <row r="6" spans="1:50" ht="24.75" customHeight="1">
      <c r="A6" s="105">
        <v>3</v>
      </c>
      <c r="B6" s="69" t="s">
        <v>91</v>
      </c>
      <c r="C6" s="80" t="s">
        <v>92</v>
      </c>
      <c r="D6" s="80" t="s">
        <v>93</v>
      </c>
      <c r="E6" s="69"/>
      <c r="F6" s="69"/>
      <c r="G6" s="81" t="s">
        <v>94</v>
      </c>
      <c r="H6" s="69" t="s">
        <v>95</v>
      </c>
      <c r="I6" s="69" t="s">
        <v>96</v>
      </c>
      <c r="J6" s="81" t="s">
        <v>97</v>
      </c>
      <c r="K6" s="81"/>
      <c r="L6" s="81"/>
      <c r="M6" s="81" t="s">
        <v>98</v>
      </c>
      <c r="N6" s="81"/>
      <c r="O6" s="81" t="s">
        <v>99</v>
      </c>
      <c r="P6" s="69" t="s">
        <v>100</v>
      </c>
      <c r="Q6" s="81" t="s">
        <v>101</v>
      </c>
      <c r="R6" s="81" t="s">
        <v>102</v>
      </c>
      <c r="S6" s="69" t="s">
        <v>103</v>
      </c>
      <c r="T6" s="69"/>
      <c r="U6" s="81" t="s">
        <v>99</v>
      </c>
      <c r="V6" s="69" t="s">
        <v>100</v>
      </c>
      <c r="W6" s="81" t="s">
        <v>101</v>
      </c>
      <c r="X6" s="81" t="s">
        <v>102</v>
      </c>
      <c r="Y6" s="69" t="s">
        <v>103</v>
      </c>
      <c r="Z6" s="81"/>
      <c r="AA6" s="69">
        <v>5</v>
      </c>
      <c r="AB6" s="69" t="s">
        <v>104</v>
      </c>
      <c r="AC6" s="82" t="s">
        <v>105</v>
      </c>
      <c r="AD6" s="106">
        <v>1</v>
      </c>
      <c r="AE6" s="110"/>
      <c r="AF6" s="110"/>
      <c r="AG6" s="83">
        <v>45566</v>
      </c>
      <c r="AH6" s="84">
        <v>45566</v>
      </c>
      <c r="AI6" s="85" t="str">
        <f t="shared" si="0"/>
        <v>～</v>
      </c>
      <c r="AJ6" s="86">
        <f t="shared" si="1"/>
        <v>47391</v>
      </c>
      <c r="AK6" s="69" t="s">
        <v>77</v>
      </c>
      <c r="AL6" s="69" t="s">
        <v>109</v>
      </c>
      <c r="AM6" s="109">
        <v>45547</v>
      </c>
      <c r="AN6" s="81"/>
      <c r="AO6" s="108">
        <v>45582</v>
      </c>
      <c r="AP6" s="81" t="s">
        <v>107</v>
      </c>
    </row>
    <row r="7" spans="1:50" ht="24.75" customHeight="1">
      <c r="A7" s="105">
        <v>4</v>
      </c>
      <c r="B7" s="69" t="s">
        <v>91</v>
      </c>
      <c r="C7" s="80" t="s">
        <v>92</v>
      </c>
      <c r="D7" s="80" t="s">
        <v>93</v>
      </c>
      <c r="E7" s="69"/>
      <c r="F7" s="69"/>
      <c r="G7" s="81" t="s">
        <v>94</v>
      </c>
      <c r="H7" s="69" t="s">
        <v>95</v>
      </c>
      <c r="I7" s="69" t="s">
        <v>96</v>
      </c>
      <c r="J7" s="81" t="s">
        <v>97</v>
      </c>
      <c r="K7" s="81"/>
      <c r="L7" s="81"/>
      <c r="M7" s="81" t="s">
        <v>98</v>
      </c>
      <c r="N7" s="81"/>
      <c r="O7" s="81" t="s">
        <v>99</v>
      </c>
      <c r="P7" s="69" t="s">
        <v>100</v>
      </c>
      <c r="Q7" s="81" t="s">
        <v>101</v>
      </c>
      <c r="R7" s="81" t="s">
        <v>102</v>
      </c>
      <c r="S7" s="69" t="s">
        <v>103</v>
      </c>
      <c r="T7" s="69"/>
      <c r="U7" s="81" t="s">
        <v>99</v>
      </c>
      <c r="V7" s="69" t="s">
        <v>100</v>
      </c>
      <c r="W7" s="81" t="s">
        <v>101</v>
      </c>
      <c r="X7" s="81" t="s">
        <v>102</v>
      </c>
      <c r="Y7" s="69" t="s">
        <v>103</v>
      </c>
      <c r="Z7" s="81"/>
      <c r="AA7" s="69">
        <v>5</v>
      </c>
      <c r="AB7" s="69" t="s">
        <v>104</v>
      </c>
      <c r="AC7" s="82" t="s">
        <v>105</v>
      </c>
      <c r="AD7" s="106">
        <v>1</v>
      </c>
      <c r="AE7" s="110"/>
      <c r="AF7" s="110"/>
      <c r="AG7" s="83">
        <v>45566</v>
      </c>
      <c r="AH7" s="84">
        <v>45566</v>
      </c>
      <c r="AI7" s="85" t="str">
        <f t="shared" si="0"/>
        <v>～</v>
      </c>
      <c r="AJ7" s="86">
        <f t="shared" si="1"/>
        <v>47391</v>
      </c>
      <c r="AK7" s="69" t="s">
        <v>77</v>
      </c>
      <c r="AL7" s="69" t="s">
        <v>110</v>
      </c>
      <c r="AM7" s="109">
        <v>45547</v>
      </c>
      <c r="AN7" s="81"/>
      <c r="AO7" s="108">
        <v>45582</v>
      </c>
      <c r="AP7" s="81" t="s">
        <v>107</v>
      </c>
    </row>
    <row r="8" spans="1:50" ht="24.75" customHeight="1">
      <c r="A8" s="105">
        <v>5</v>
      </c>
      <c r="B8" s="69" t="s">
        <v>91</v>
      </c>
      <c r="C8" s="80" t="s">
        <v>92</v>
      </c>
      <c r="D8" s="80" t="s">
        <v>93</v>
      </c>
      <c r="E8" s="69"/>
      <c r="F8" s="69"/>
      <c r="G8" s="81" t="s">
        <v>94</v>
      </c>
      <c r="H8" s="69" t="s">
        <v>95</v>
      </c>
      <c r="I8" s="69" t="s">
        <v>96</v>
      </c>
      <c r="J8" s="81" t="s">
        <v>97</v>
      </c>
      <c r="K8" s="81"/>
      <c r="L8" s="81"/>
      <c r="M8" s="81" t="s">
        <v>98</v>
      </c>
      <c r="N8" s="81"/>
      <c r="O8" s="81" t="s">
        <v>99</v>
      </c>
      <c r="P8" s="69" t="s">
        <v>100</v>
      </c>
      <c r="Q8" s="81" t="s">
        <v>101</v>
      </c>
      <c r="R8" s="81" t="s">
        <v>102</v>
      </c>
      <c r="S8" s="69" t="s">
        <v>103</v>
      </c>
      <c r="T8" s="69"/>
      <c r="U8" s="81" t="s">
        <v>99</v>
      </c>
      <c r="V8" s="69" t="s">
        <v>100</v>
      </c>
      <c r="W8" s="81" t="s">
        <v>101</v>
      </c>
      <c r="X8" s="81" t="s">
        <v>102</v>
      </c>
      <c r="Y8" s="69" t="s">
        <v>103</v>
      </c>
      <c r="Z8" s="81"/>
      <c r="AA8" s="69">
        <v>5</v>
      </c>
      <c r="AB8" s="69" t="s">
        <v>104</v>
      </c>
      <c r="AC8" s="82" t="s">
        <v>105</v>
      </c>
      <c r="AD8" s="106">
        <v>1</v>
      </c>
      <c r="AE8" s="110"/>
      <c r="AF8" s="110"/>
      <c r="AG8" s="83">
        <v>45566</v>
      </c>
      <c r="AH8" s="84">
        <v>45566</v>
      </c>
      <c r="AI8" s="85" t="str">
        <f t="shared" si="0"/>
        <v>～</v>
      </c>
      <c r="AJ8" s="86">
        <f t="shared" si="1"/>
        <v>47391</v>
      </c>
      <c r="AK8" s="69" t="s">
        <v>77</v>
      </c>
      <c r="AL8" s="69" t="s">
        <v>111</v>
      </c>
      <c r="AM8" s="109">
        <v>45547</v>
      </c>
      <c r="AN8" s="81"/>
      <c r="AO8" s="108">
        <v>45582</v>
      </c>
      <c r="AP8" s="81" t="s">
        <v>107</v>
      </c>
    </row>
    <row r="9" spans="1:50" ht="24.75" customHeight="1">
      <c r="A9" s="105">
        <v>6</v>
      </c>
      <c r="B9" s="69" t="s">
        <v>91</v>
      </c>
      <c r="C9" s="80" t="s">
        <v>92</v>
      </c>
      <c r="D9" s="80" t="s">
        <v>93</v>
      </c>
      <c r="E9" s="69"/>
      <c r="F9" s="69"/>
      <c r="G9" s="81" t="s">
        <v>94</v>
      </c>
      <c r="H9" s="69" t="s">
        <v>95</v>
      </c>
      <c r="I9" s="69" t="s">
        <v>96</v>
      </c>
      <c r="J9" s="81" t="s">
        <v>97</v>
      </c>
      <c r="K9" s="81"/>
      <c r="L9" s="81"/>
      <c r="M9" s="81" t="s">
        <v>98</v>
      </c>
      <c r="N9" s="81"/>
      <c r="O9" s="81" t="s">
        <v>99</v>
      </c>
      <c r="P9" s="69" t="s">
        <v>100</v>
      </c>
      <c r="Q9" s="81" t="s">
        <v>101</v>
      </c>
      <c r="R9" s="81" t="s">
        <v>102</v>
      </c>
      <c r="S9" s="69" t="s">
        <v>103</v>
      </c>
      <c r="T9" s="69"/>
      <c r="U9" s="81" t="s">
        <v>99</v>
      </c>
      <c r="V9" s="69" t="s">
        <v>100</v>
      </c>
      <c r="W9" s="81" t="s">
        <v>101</v>
      </c>
      <c r="X9" s="81" t="s">
        <v>102</v>
      </c>
      <c r="Y9" s="69" t="s">
        <v>103</v>
      </c>
      <c r="Z9" s="81"/>
      <c r="AA9" s="69">
        <v>5</v>
      </c>
      <c r="AB9" s="69" t="s">
        <v>104</v>
      </c>
      <c r="AC9" s="82" t="s">
        <v>105</v>
      </c>
      <c r="AD9" s="106">
        <v>1</v>
      </c>
      <c r="AE9" s="110"/>
      <c r="AF9" s="110"/>
      <c r="AG9" s="83">
        <v>45566</v>
      </c>
      <c r="AH9" s="84">
        <v>45566</v>
      </c>
      <c r="AI9" s="85" t="str">
        <f t="shared" si="0"/>
        <v>～</v>
      </c>
      <c r="AJ9" s="86">
        <f t="shared" si="1"/>
        <v>47391</v>
      </c>
      <c r="AK9" s="69" t="s">
        <v>77</v>
      </c>
      <c r="AL9" s="69" t="s">
        <v>112</v>
      </c>
      <c r="AM9" s="109">
        <v>45547</v>
      </c>
      <c r="AN9" s="81"/>
      <c r="AO9" s="108">
        <v>45582</v>
      </c>
      <c r="AP9" s="81" t="s">
        <v>107</v>
      </c>
    </row>
    <row r="10" spans="1:50" ht="24.75" customHeight="1">
      <c r="A10" s="105">
        <v>7</v>
      </c>
      <c r="B10" s="69" t="s">
        <v>91</v>
      </c>
      <c r="C10" s="80" t="s">
        <v>92</v>
      </c>
      <c r="D10" s="80" t="s">
        <v>93</v>
      </c>
      <c r="E10" s="69"/>
      <c r="F10" s="69"/>
      <c r="G10" s="81" t="s">
        <v>94</v>
      </c>
      <c r="H10" s="69" t="s">
        <v>95</v>
      </c>
      <c r="I10" s="69" t="s">
        <v>96</v>
      </c>
      <c r="J10" s="81" t="s">
        <v>97</v>
      </c>
      <c r="K10" s="81"/>
      <c r="L10" s="81"/>
      <c r="M10" s="81" t="s">
        <v>98</v>
      </c>
      <c r="N10" s="81"/>
      <c r="O10" s="81" t="s">
        <v>99</v>
      </c>
      <c r="P10" s="69" t="s">
        <v>100</v>
      </c>
      <c r="Q10" s="81" t="s">
        <v>101</v>
      </c>
      <c r="R10" s="81" t="s">
        <v>102</v>
      </c>
      <c r="S10" s="69" t="s">
        <v>103</v>
      </c>
      <c r="T10" s="69"/>
      <c r="U10" s="81" t="s">
        <v>99</v>
      </c>
      <c r="V10" s="69" t="s">
        <v>100</v>
      </c>
      <c r="W10" s="81" t="s">
        <v>101</v>
      </c>
      <c r="X10" s="81" t="s">
        <v>102</v>
      </c>
      <c r="Y10" s="69" t="s">
        <v>103</v>
      </c>
      <c r="Z10" s="81"/>
      <c r="AA10" s="69">
        <v>5</v>
      </c>
      <c r="AB10" s="69" t="s">
        <v>104</v>
      </c>
      <c r="AC10" s="82" t="s">
        <v>105</v>
      </c>
      <c r="AD10" s="106">
        <v>1</v>
      </c>
      <c r="AE10" s="110"/>
      <c r="AF10" s="110"/>
      <c r="AG10" s="83">
        <v>45566</v>
      </c>
      <c r="AH10" s="84">
        <v>45566</v>
      </c>
      <c r="AI10" s="85" t="str">
        <f t="shared" si="0"/>
        <v>～</v>
      </c>
      <c r="AJ10" s="86">
        <f t="shared" si="1"/>
        <v>47391</v>
      </c>
      <c r="AK10" s="69" t="s">
        <v>77</v>
      </c>
      <c r="AL10" s="69" t="s">
        <v>113</v>
      </c>
      <c r="AM10" s="109">
        <v>45547</v>
      </c>
      <c r="AN10" s="81"/>
      <c r="AO10" s="108">
        <v>45582</v>
      </c>
      <c r="AP10" s="81" t="s">
        <v>107</v>
      </c>
    </row>
    <row r="11" spans="1:50" ht="24.75" customHeight="1">
      <c r="A11" s="105">
        <v>8</v>
      </c>
      <c r="B11" s="69" t="s">
        <v>91</v>
      </c>
      <c r="C11" s="80" t="s">
        <v>92</v>
      </c>
      <c r="D11" s="80" t="s">
        <v>93</v>
      </c>
      <c r="E11" s="69"/>
      <c r="F11" s="69"/>
      <c r="G11" s="81" t="s">
        <v>94</v>
      </c>
      <c r="H11" s="69" t="s">
        <v>95</v>
      </c>
      <c r="I11" s="69" t="s">
        <v>96</v>
      </c>
      <c r="J11" s="81" t="s">
        <v>97</v>
      </c>
      <c r="K11" s="81"/>
      <c r="L11" s="81"/>
      <c r="M11" s="81" t="s">
        <v>98</v>
      </c>
      <c r="N11" s="81"/>
      <c r="O11" s="81" t="s">
        <v>99</v>
      </c>
      <c r="P11" s="69" t="s">
        <v>100</v>
      </c>
      <c r="Q11" s="81" t="s">
        <v>101</v>
      </c>
      <c r="R11" s="81" t="s">
        <v>102</v>
      </c>
      <c r="S11" s="69" t="s">
        <v>103</v>
      </c>
      <c r="T11" s="69"/>
      <c r="U11" s="81" t="s">
        <v>99</v>
      </c>
      <c r="V11" s="69" t="s">
        <v>100</v>
      </c>
      <c r="W11" s="81" t="s">
        <v>101</v>
      </c>
      <c r="X11" s="81" t="s">
        <v>102</v>
      </c>
      <c r="Y11" s="69" t="s">
        <v>103</v>
      </c>
      <c r="Z11" s="81"/>
      <c r="AA11" s="69">
        <v>5</v>
      </c>
      <c r="AB11" s="69" t="s">
        <v>104</v>
      </c>
      <c r="AC11" s="82" t="s">
        <v>105</v>
      </c>
      <c r="AD11" s="106">
        <v>1</v>
      </c>
      <c r="AE11" s="110"/>
      <c r="AF11" s="110"/>
      <c r="AG11" s="83">
        <v>45566</v>
      </c>
      <c r="AH11" s="84">
        <v>45566</v>
      </c>
      <c r="AI11" s="85" t="str">
        <f t="shared" si="0"/>
        <v>～</v>
      </c>
      <c r="AJ11" s="86">
        <f t="shared" si="1"/>
        <v>47391</v>
      </c>
      <c r="AK11" s="69" t="s">
        <v>77</v>
      </c>
      <c r="AL11" s="69" t="s">
        <v>114</v>
      </c>
      <c r="AM11" s="109">
        <v>45547</v>
      </c>
      <c r="AN11" s="81"/>
      <c r="AO11" s="108">
        <v>45582</v>
      </c>
      <c r="AP11" s="81" t="s">
        <v>107</v>
      </c>
    </row>
    <row r="12" spans="1:50" ht="24.75" customHeight="1">
      <c r="A12" s="105">
        <v>9</v>
      </c>
      <c r="B12" s="69" t="s">
        <v>91</v>
      </c>
      <c r="C12" s="80" t="s">
        <v>92</v>
      </c>
      <c r="D12" s="80" t="s">
        <v>93</v>
      </c>
      <c r="E12" s="69"/>
      <c r="F12" s="69"/>
      <c r="G12" s="81" t="s">
        <v>94</v>
      </c>
      <c r="H12" s="69" t="s">
        <v>95</v>
      </c>
      <c r="I12" s="69" t="s">
        <v>96</v>
      </c>
      <c r="J12" s="81" t="s">
        <v>97</v>
      </c>
      <c r="K12" s="81"/>
      <c r="L12" s="81"/>
      <c r="M12" s="81" t="s">
        <v>98</v>
      </c>
      <c r="N12" s="81"/>
      <c r="O12" s="81" t="s">
        <v>99</v>
      </c>
      <c r="P12" s="69" t="s">
        <v>100</v>
      </c>
      <c r="Q12" s="81" t="s">
        <v>101</v>
      </c>
      <c r="R12" s="81" t="s">
        <v>102</v>
      </c>
      <c r="S12" s="69" t="s">
        <v>103</v>
      </c>
      <c r="T12" s="69"/>
      <c r="U12" s="81" t="s">
        <v>99</v>
      </c>
      <c r="V12" s="69" t="s">
        <v>100</v>
      </c>
      <c r="W12" s="81" t="s">
        <v>101</v>
      </c>
      <c r="X12" s="81" t="s">
        <v>102</v>
      </c>
      <c r="Y12" s="69" t="s">
        <v>103</v>
      </c>
      <c r="Z12" s="81"/>
      <c r="AA12" s="69">
        <v>5</v>
      </c>
      <c r="AB12" s="69" t="s">
        <v>104</v>
      </c>
      <c r="AC12" s="82" t="s">
        <v>105</v>
      </c>
      <c r="AD12" s="106">
        <v>1</v>
      </c>
      <c r="AE12" s="110"/>
      <c r="AF12" s="110"/>
      <c r="AG12" s="83">
        <v>45566</v>
      </c>
      <c r="AH12" s="84">
        <v>45566</v>
      </c>
      <c r="AI12" s="85" t="str">
        <f t="shared" si="0"/>
        <v>～</v>
      </c>
      <c r="AJ12" s="86">
        <f t="shared" si="1"/>
        <v>47391</v>
      </c>
      <c r="AK12" s="69" t="s">
        <v>115</v>
      </c>
      <c r="AL12" s="69" t="s">
        <v>116</v>
      </c>
      <c r="AM12" s="109">
        <v>45547</v>
      </c>
      <c r="AN12" s="81"/>
      <c r="AO12" s="108">
        <v>45582</v>
      </c>
      <c r="AP12" s="81" t="s">
        <v>107</v>
      </c>
    </row>
    <row r="13" spans="1:50" ht="24.75" customHeight="1">
      <c r="A13" s="105">
        <v>10</v>
      </c>
      <c r="B13" s="69" t="s">
        <v>91</v>
      </c>
      <c r="C13" s="80" t="s">
        <v>92</v>
      </c>
      <c r="D13" s="80" t="s">
        <v>93</v>
      </c>
      <c r="E13" s="69"/>
      <c r="F13" s="69"/>
      <c r="G13" s="81" t="s">
        <v>94</v>
      </c>
      <c r="H13" s="69" t="s">
        <v>95</v>
      </c>
      <c r="I13" s="69" t="s">
        <v>96</v>
      </c>
      <c r="J13" s="81" t="s">
        <v>97</v>
      </c>
      <c r="K13" s="81"/>
      <c r="L13" s="81"/>
      <c r="M13" s="81" t="s">
        <v>98</v>
      </c>
      <c r="N13" s="81"/>
      <c r="O13" s="81" t="s">
        <v>99</v>
      </c>
      <c r="P13" s="69" t="s">
        <v>100</v>
      </c>
      <c r="Q13" s="81" t="s">
        <v>101</v>
      </c>
      <c r="R13" s="81" t="s">
        <v>102</v>
      </c>
      <c r="S13" s="69" t="s">
        <v>103</v>
      </c>
      <c r="T13" s="69"/>
      <c r="U13" s="81" t="s">
        <v>99</v>
      </c>
      <c r="V13" s="69" t="s">
        <v>100</v>
      </c>
      <c r="W13" s="81" t="s">
        <v>101</v>
      </c>
      <c r="X13" s="81" t="s">
        <v>102</v>
      </c>
      <c r="Y13" s="69" t="s">
        <v>103</v>
      </c>
      <c r="Z13" s="81"/>
      <c r="AA13" s="69">
        <v>5</v>
      </c>
      <c r="AB13" s="69" t="s">
        <v>104</v>
      </c>
      <c r="AC13" s="82" t="s">
        <v>105</v>
      </c>
      <c r="AD13" s="106">
        <v>1</v>
      </c>
      <c r="AE13" s="110"/>
      <c r="AF13" s="110"/>
      <c r="AG13" s="83">
        <v>45566</v>
      </c>
      <c r="AH13" s="84">
        <v>45566</v>
      </c>
      <c r="AI13" s="85" t="str">
        <f t="shared" si="0"/>
        <v>～</v>
      </c>
      <c r="AJ13" s="86">
        <f t="shared" si="1"/>
        <v>47391</v>
      </c>
      <c r="AK13" s="69" t="s">
        <v>117</v>
      </c>
      <c r="AL13" s="69" t="s">
        <v>118</v>
      </c>
      <c r="AM13" s="109">
        <v>45547</v>
      </c>
      <c r="AN13" s="81"/>
      <c r="AO13" s="108">
        <v>45582</v>
      </c>
      <c r="AP13" s="81" t="s">
        <v>107</v>
      </c>
    </row>
    <row r="14" spans="1:50" ht="24.75" customHeight="1">
      <c r="A14" s="105">
        <v>11</v>
      </c>
      <c r="B14" s="69" t="s">
        <v>119</v>
      </c>
      <c r="C14" s="80" t="s">
        <v>92</v>
      </c>
      <c r="D14" s="80" t="s">
        <v>93</v>
      </c>
      <c r="E14" s="69"/>
      <c r="F14" s="69"/>
      <c r="G14" s="81" t="s">
        <v>120</v>
      </c>
      <c r="H14" s="69" t="s">
        <v>121</v>
      </c>
      <c r="I14" s="69" t="s">
        <v>76</v>
      </c>
      <c r="J14" s="81" t="s">
        <v>122</v>
      </c>
      <c r="K14" s="81"/>
      <c r="L14" s="81"/>
      <c r="M14" s="81" t="s">
        <v>123</v>
      </c>
      <c r="N14" s="81"/>
      <c r="O14" s="81" t="s">
        <v>99</v>
      </c>
      <c r="P14" s="69" t="s">
        <v>100</v>
      </c>
      <c r="Q14" s="81" t="s">
        <v>101</v>
      </c>
      <c r="R14" s="81" t="s">
        <v>102</v>
      </c>
      <c r="S14" s="69" t="s">
        <v>103</v>
      </c>
      <c r="T14" s="69"/>
      <c r="U14" s="81" t="s">
        <v>99</v>
      </c>
      <c r="V14" s="69" t="s">
        <v>100</v>
      </c>
      <c r="W14" s="81" t="s">
        <v>101</v>
      </c>
      <c r="X14" s="81" t="s">
        <v>102</v>
      </c>
      <c r="Y14" s="69" t="s">
        <v>103</v>
      </c>
      <c r="Z14" s="81"/>
      <c r="AA14" s="69">
        <v>5</v>
      </c>
      <c r="AB14" s="69" t="s">
        <v>104</v>
      </c>
      <c r="AC14" s="82" t="s">
        <v>105</v>
      </c>
      <c r="AD14" s="106">
        <v>1</v>
      </c>
      <c r="AE14" s="107">
        <v>76500</v>
      </c>
      <c r="AF14" s="107">
        <f>IF(ISBLANK($AE14),"",$AE14*$AD14)</f>
        <v>76500</v>
      </c>
      <c r="AG14" s="83">
        <v>45627</v>
      </c>
      <c r="AH14" s="84">
        <v>45645</v>
      </c>
      <c r="AI14" s="85" t="str">
        <f t="shared" si="0"/>
        <v>～</v>
      </c>
      <c r="AJ14" s="86">
        <f t="shared" si="1"/>
        <v>47470</v>
      </c>
      <c r="AK14" s="69" t="s">
        <v>124</v>
      </c>
      <c r="AL14" s="69" t="s">
        <v>125</v>
      </c>
      <c r="AM14" s="109">
        <v>45645</v>
      </c>
      <c r="AN14" s="81"/>
      <c r="AO14" s="108">
        <v>45652</v>
      </c>
      <c r="AP14" s="81" t="s">
        <v>126</v>
      </c>
    </row>
    <row r="15" spans="1:50" ht="24.75" customHeight="1">
      <c r="A15" s="105">
        <v>12</v>
      </c>
      <c r="B15" s="69" t="s">
        <v>119</v>
      </c>
      <c r="C15" s="80" t="s">
        <v>92</v>
      </c>
      <c r="D15" s="80" t="s">
        <v>93</v>
      </c>
      <c r="E15" s="69"/>
      <c r="F15" s="69"/>
      <c r="G15" s="81" t="s">
        <v>120</v>
      </c>
      <c r="H15" s="69" t="s">
        <v>121</v>
      </c>
      <c r="I15" s="69" t="s">
        <v>76</v>
      </c>
      <c r="J15" s="81" t="s">
        <v>122</v>
      </c>
      <c r="K15" s="81"/>
      <c r="L15" s="81"/>
      <c r="M15" s="81" t="s">
        <v>123</v>
      </c>
      <c r="N15" s="81"/>
      <c r="O15" s="81" t="s">
        <v>99</v>
      </c>
      <c r="P15" s="69" t="s">
        <v>100</v>
      </c>
      <c r="Q15" s="81" t="s">
        <v>101</v>
      </c>
      <c r="R15" s="81" t="s">
        <v>102</v>
      </c>
      <c r="S15" s="69" t="s">
        <v>103</v>
      </c>
      <c r="T15" s="69"/>
      <c r="U15" s="81" t="s">
        <v>99</v>
      </c>
      <c r="V15" s="69" t="s">
        <v>100</v>
      </c>
      <c r="W15" s="81" t="s">
        <v>101</v>
      </c>
      <c r="X15" s="81" t="s">
        <v>102</v>
      </c>
      <c r="Y15" s="69" t="s">
        <v>103</v>
      </c>
      <c r="Z15" s="81"/>
      <c r="AA15" s="69">
        <v>5</v>
      </c>
      <c r="AB15" s="69" t="s">
        <v>104</v>
      </c>
      <c r="AC15" s="82" t="s">
        <v>105</v>
      </c>
      <c r="AD15" s="106">
        <v>1</v>
      </c>
      <c r="AE15" s="110"/>
      <c r="AF15" s="110"/>
      <c r="AG15" s="83">
        <v>45627</v>
      </c>
      <c r="AH15" s="84">
        <v>45645</v>
      </c>
      <c r="AI15" s="85" t="str">
        <f t="shared" si="0"/>
        <v>～</v>
      </c>
      <c r="AJ15" s="86">
        <f t="shared" si="1"/>
        <v>47470</v>
      </c>
      <c r="AK15" s="69" t="s">
        <v>124</v>
      </c>
      <c r="AL15" s="69" t="s">
        <v>127</v>
      </c>
      <c r="AM15" s="109">
        <v>45645</v>
      </c>
      <c r="AN15" s="81"/>
      <c r="AO15" s="108">
        <v>45652</v>
      </c>
      <c r="AP15" s="81" t="s">
        <v>126</v>
      </c>
    </row>
    <row r="16" spans="1:50" ht="24.75" customHeight="1">
      <c r="A16" s="105">
        <v>13</v>
      </c>
      <c r="B16" s="69" t="s">
        <v>119</v>
      </c>
      <c r="C16" s="80" t="s">
        <v>92</v>
      </c>
      <c r="D16" s="80" t="s">
        <v>93</v>
      </c>
      <c r="E16" s="69"/>
      <c r="F16" s="69"/>
      <c r="G16" s="81" t="s">
        <v>120</v>
      </c>
      <c r="H16" s="69" t="s">
        <v>121</v>
      </c>
      <c r="I16" s="69" t="s">
        <v>76</v>
      </c>
      <c r="J16" s="81" t="s">
        <v>122</v>
      </c>
      <c r="K16" s="81"/>
      <c r="L16" s="81"/>
      <c r="M16" s="81" t="s">
        <v>123</v>
      </c>
      <c r="N16" s="81"/>
      <c r="O16" s="81" t="s">
        <v>99</v>
      </c>
      <c r="P16" s="69" t="s">
        <v>100</v>
      </c>
      <c r="Q16" s="81" t="s">
        <v>101</v>
      </c>
      <c r="R16" s="81" t="s">
        <v>102</v>
      </c>
      <c r="S16" s="69" t="s">
        <v>103</v>
      </c>
      <c r="T16" s="69"/>
      <c r="U16" s="81" t="s">
        <v>99</v>
      </c>
      <c r="V16" s="69" t="s">
        <v>100</v>
      </c>
      <c r="W16" s="81" t="s">
        <v>101</v>
      </c>
      <c r="X16" s="81" t="s">
        <v>102</v>
      </c>
      <c r="Y16" s="69" t="s">
        <v>103</v>
      </c>
      <c r="Z16" s="81"/>
      <c r="AA16" s="69">
        <v>5</v>
      </c>
      <c r="AB16" s="69" t="s">
        <v>104</v>
      </c>
      <c r="AC16" s="82" t="s">
        <v>105</v>
      </c>
      <c r="AD16" s="106">
        <v>1</v>
      </c>
      <c r="AE16" s="110"/>
      <c r="AF16" s="110"/>
      <c r="AG16" s="83">
        <v>45627</v>
      </c>
      <c r="AH16" s="84">
        <v>45645</v>
      </c>
      <c r="AI16" s="85" t="str">
        <f t="shared" si="0"/>
        <v>～</v>
      </c>
      <c r="AJ16" s="86">
        <f t="shared" si="1"/>
        <v>47470</v>
      </c>
      <c r="AK16" s="69" t="s">
        <v>124</v>
      </c>
      <c r="AL16" s="69" t="s">
        <v>128</v>
      </c>
      <c r="AM16" s="109">
        <v>45645</v>
      </c>
      <c r="AN16" s="81"/>
      <c r="AO16" s="108">
        <v>45652</v>
      </c>
      <c r="AP16" s="81" t="s">
        <v>126</v>
      </c>
    </row>
    <row r="17" spans="1:42" ht="24.75" customHeight="1">
      <c r="A17" s="105">
        <v>14</v>
      </c>
      <c r="B17" s="69" t="s">
        <v>119</v>
      </c>
      <c r="C17" s="80" t="s">
        <v>92</v>
      </c>
      <c r="D17" s="80" t="s">
        <v>93</v>
      </c>
      <c r="E17" s="69"/>
      <c r="F17" s="69"/>
      <c r="G17" s="81" t="s">
        <v>120</v>
      </c>
      <c r="H17" s="69" t="s">
        <v>121</v>
      </c>
      <c r="I17" s="69" t="s">
        <v>76</v>
      </c>
      <c r="J17" s="81" t="s">
        <v>122</v>
      </c>
      <c r="K17" s="81"/>
      <c r="L17" s="81"/>
      <c r="M17" s="81" t="s">
        <v>123</v>
      </c>
      <c r="N17" s="81"/>
      <c r="O17" s="81" t="s">
        <v>99</v>
      </c>
      <c r="P17" s="69" t="s">
        <v>100</v>
      </c>
      <c r="Q17" s="81" t="s">
        <v>101</v>
      </c>
      <c r="R17" s="81" t="s">
        <v>102</v>
      </c>
      <c r="S17" s="69" t="s">
        <v>103</v>
      </c>
      <c r="T17" s="69"/>
      <c r="U17" s="81" t="s">
        <v>99</v>
      </c>
      <c r="V17" s="69" t="s">
        <v>100</v>
      </c>
      <c r="W17" s="81" t="s">
        <v>101</v>
      </c>
      <c r="X17" s="81" t="s">
        <v>102</v>
      </c>
      <c r="Y17" s="69" t="s">
        <v>103</v>
      </c>
      <c r="Z17" s="81"/>
      <c r="AA17" s="69">
        <v>5</v>
      </c>
      <c r="AB17" s="69" t="s">
        <v>104</v>
      </c>
      <c r="AC17" s="82" t="s">
        <v>105</v>
      </c>
      <c r="AD17" s="106">
        <v>1</v>
      </c>
      <c r="AE17" s="110"/>
      <c r="AF17" s="110"/>
      <c r="AG17" s="83">
        <v>45627</v>
      </c>
      <c r="AH17" s="84">
        <v>45645</v>
      </c>
      <c r="AI17" s="85" t="str">
        <f t="shared" si="0"/>
        <v>～</v>
      </c>
      <c r="AJ17" s="86">
        <f t="shared" si="1"/>
        <v>47470</v>
      </c>
      <c r="AK17" s="69" t="s">
        <v>124</v>
      </c>
      <c r="AL17" s="69" t="s">
        <v>129</v>
      </c>
      <c r="AM17" s="109">
        <v>45645</v>
      </c>
      <c r="AN17" s="81"/>
      <c r="AO17" s="108">
        <v>45652</v>
      </c>
      <c r="AP17" s="81" t="s">
        <v>126</v>
      </c>
    </row>
    <row r="18" spans="1:42" ht="24.75" customHeight="1">
      <c r="A18" s="105">
        <v>15</v>
      </c>
      <c r="B18" s="69" t="s">
        <v>119</v>
      </c>
      <c r="C18" s="80" t="s">
        <v>92</v>
      </c>
      <c r="D18" s="80" t="s">
        <v>93</v>
      </c>
      <c r="E18" s="69"/>
      <c r="F18" s="69"/>
      <c r="G18" s="81" t="s">
        <v>120</v>
      </c>
      <c r="H18" s="69" t="s">
        <v>121</v>
      </c>
      <c r="I18" s="69" t="s">
        <v>76</v>
      </c>
      <c r="J18" s="81" t="s">
        <v>122</v>
      </c>
      <c r="K18" s="81"/>
      <c r="L18" s="81"/>
      <c r="M18" s="81" t="s">
        <v>123</v>
      </c>
      <c r="N18" s="81"/>
      <c r="O18" s="81" t="s">
        <v>99</v>
      </c>
      <c r="P18" s="69" t="s">
        <v>100</v>
      </c>
      <c r="Q18" s="81" t="s">
        <v>101</v>
      </c>
      <c r="R18" s="81" t="s">
        <v>102</v>
      </c>
      <c r="S18" s="69" t="s">
        <v>103</v>
      </c>
      <c r="T18" s="69"/>
      <c r="U18" s="81" t="s">
        <v>99</v>
      </c>
      <c r="V18" s="69" t="s">
        <v>100</v>
      </c>
      <c r="W18" s="81" t="s">
        <v>101</v>
      </c>
      <c r="X18" s="81" t="s">
        <v>102</v>
      </c>
      <c r="Y18" s="69" t="s">
        <v>103</v>
      </c>
      <c r="Z18" s="81"/>
      <c r="AA18" s="69">
        <v>5</v>
      </c>
      <c r="AB18" s="69" t="s">
        <v>104</v>
      </c>
      <c r="AC18" s="82" t="s">
        <v>105</v>
      </c>
      <c r="AD18" s="106">
        <v>1</v>
      </c>
      <c r="AE18" s="110"/>
      <c r="AF18" s="110"/>
      <c r="AG18" s="83">
        <v>45627</v>
      </c>
      <c r="AH18" s="84">
        <v>45645</v>
      </c>
      <c r="AI18" s="85" t="str">
        <f t="shared" si="0"/>
        <v>～</v>
      </c>
      <c r="AJ18" s="86">
        <f t="shared" si="1"/>
        <v>47470</v>
      </c>
      <c r="AK18" s="69" t="s">
        <v>124</v>
      </c>
      <c r="AL18" s="69" t="s">
        <v>130</v>
      </c>
      <c r="AM18" s="109">
        <v>45645</v>
      </c>
      <c r="AN18" s="81"/>
      <c r="AO18" s="108">
        <v>45652</v>
      </c>
      <c r="AP18" s="81" t="s">
        <v>126</v>
      </c>
    </row>
    <row r="19" spans="1:42" ht="24.75" customHeight="1">
      <c r="A19" s="105">
        <v>16</v>
      </c>
      <c r="B19" s="69" t="s">
        <v>119</v>
      </c>
      <c r="C19" s="80" t="s">
        <v>92</v>
      </c>
      <c r="D19" s="80" t="s">
        <v>93</v>
      </c>
      <c r="E19" s="69"/>
      <c r="F19" s="69"/>
      <c r="G19" s="81" t="s">
        <v>120</v>
      </c>
      <c r="H19" s="69" t="s">
        <v>121</v>
      </c>
      <c r="I19" s="69" t="s">
        <v>76</v>
      </c>
      <c r="J19" s="81" t="s">
        <v>122</v>
      </c>
      <c r="K19" s="81"/>
      <c r="L19" s="81"/>
      <c r="M19" s="81" t="s">
        <v>123</v>
      </c>
      <c r="N19" s="81"/>
      <c r="O19" s="81" t="s">
        <v>99</v>
      </c>
      <c r="P19" s="69" t="s">
        <v>100</v>
      </c>
      <c r="Q19" s="81" t="s">
        <v>101</v>
      </c>
      <c r="R19" s="81" t="s">
        <v>102</v>
      </c>
      <c r="S19" s="69" t="s">
        <v>103</v>
      </c>
      <c r="T19" s="69"/>
      <c r="U19" s="81" t="s">
        <v>99</v>
      </c>
      <c r="V19" s="69" t="s">
        <v>100</v>
      </c>
      <c r="W19" s="81" t="s">
        <v>101</v>
      </c>
      <c r="X19" s="81" t="s">
        <v>102</v>
      </c>
      <c r="Y19" s="69" t="s">
        <v>103</v>
      </c>
      <c r="Z19" s="81"/>
      <c r="AA19" s="69">
        <v>5</v>
      </c>
      <c r="AB19" s="69" t="s">
        <v>104</v>
      </c>
      <c r="AC19" s="82" t="s">
        <v>105</v>
      </c>
      <c r="AD19" s="106">
        <v>1</v>
      </c>
      <c r="AE19" s="110"/>
      <c r="AF19" s="110"/>
      <c r="AG19" s="83">
        <v>45627</v>
      </c>
      <c r="AH19" s="84">
        <v>45645</v>
      </c>
      <c r="AI19" s="85" t="str">
        <f t="shared" si="0"/>
        <v>～</v>
      </c>
      <c r="AJ19" s="86">
        <f t="shared" si="1"/>
        <v>47470</v>
      </c>
      <c r="AK19" s="69" t="s">
        <v>124</v>
      </c>
      <c r="AL19" s="69" t="s">
        <v>131</v>
      </c>
      <c r="AM19" s="109">
        <v>45645</v>
      </c>
      <c r="AN19" s="81"/>
      <c r="AO19" s="108">
        <v>45652</v>
      </c>
      <c r="AP19" s="81" t="s">
        <v>126</v>
      </c>
    </row>
    <row r="20" spans="1:42" ht="24.75" customHeight="1">
      <c r="A20" s="105">
        <v>17</v>
      </c>
      <c r="B20" s="69" t="s">
        <v>119</v>
      </c>
      <c r="C20" s="80" t="s">
        <v>92</v>
      </c>
      <c r="D20" s="80" t="s">
        <v>93</v>
      </c>
      <c r="E20" s="69"/>
      <c r="F20" s="69"/>
      <c r="G20" s="81" t="s">
        <v>120</v>
      </c>
      <c r="H20" s="69" t="s">
        <v>121</v>
      </c>
      <c r="I20" s="69" t="s">
        <v>76</v>
      </c>
      <c r="J20" s="81" t="s">
        <v>122</v>
      </c>
      <c r="K20" s="81"/>
      <c r="L20" s="81"/>
      <c r="M20" s="81" t="s">
        <v>123</v>
      </c>
      <c r="N20" s="81"/>
      <c r="O20" s="81" t="s">
        <v>99</v>
      </c>
      <c r="P20" s="69" t="s">
        <v>100</v>
      </c>
      <c r="Q20" s="81" t="s">
        <v>101</v>
      </c>
      <c r="R20" s="81" t="s">
        <v>102</v>
      </c>
      <c r="S20" s="69" t="s">
        <v>103</v>
      </c>
      <c r="T20" s="69"/>
      <c r="U20" s="81" t="s">
        <v>99</v>
      </c>
      <c r="V20" s="69" t="s">
        <v>100</v>
      </c>
      <c r="W20" s="81" t="s">
        <v>101</v>
      </c>
      <c r="X20" s="81" t="s">
        <v>102</v>
      </c>
      <c r="Y20" s="69" t="s">
        <v>103</v>
      </c>
      <c r="Z20" s="81"/>
      <c r="AA20" s="69">
        <v>5</v>
      </c>
      <c r="AB20" s="69" t="s">
        <v>104</v>
      </c>
      <c r="AC20" s="82" t="s">
        <v>105</v>
      </c>
      <c r="AD20" s="106">
        <v>1</v>
      </c>
      <c r="AE20" s="110"/>
      <c r="AF20" s="110"/>
      <c r="AG20" s="83">
        <v>45627</v>
      </c>
      <c r="AH20" s="84">
        <v>45645</v>
      </c>
      <c r="AI20" s="85" t="str">
        <f t="shared" si="0"/>
        <v>～</v>
      </c>
      <c r="AJ20" s="86">
        <f t="shared" si="1"/>
        <v>47470</v>
      </c>
      <c r="AK20" s="69" t="s">
        <v>124</v>
      </c>
      <c r="AL20" s="69" t="s">
        <v>132</v>
      </c>
      <c r="AM20" s="109">
        <v>45645</v>
      </c>
      <c r="AN20" s="81"/>
      <c r="AO20" s="108">
        <v>45652</v>
      </c>
      <c r="AP20" s="81" t="s">
        <v>126</v>
      </c>
    </row>
    <row r="21" spans="1:42" ht="24.75" customHeight="1">
      <c r="A21" s="105">
        <v>18</v>
      </c>
      <c r="B21" s="69" t="s">
        <v>119</v>
      </c>
      <c r="C21" s="80" t="s">
        <v>92</v>
      </c>
      <c r="D21" s="80" t="s">
        <v>93</v>
      </c>
      <c r="E21" s="69"/>
      <c r="F21" s="69"/>
      <c r="G21" s="81" t="s">
        <v>120</v>
      </c>
      <c r="H21" s="69" t="s">
        <v>121</v>
      </c>
      <c r="I21" s="69" t="s">
        <v>76</v>
      </c>
      <c r="J21" s="81" t="s">
        <v>122</v>
      </c>
      <c r="K21" s="81"/>
      <c r="L21" s="81"/>
      <c r="M21" s="81" t="s">
        <v>123</v>
      </c>
      <c r="N21" s="81"/>
      <c r="O21" s="81" t="s">
        <v>99</v>
      </c>
      <c r="P21" s="69" t="s">
        <v>100</v>
      </c>
      <c r="Q21" s="81" t="s">
        <v>101</v>
      </c>
      <c r="R21" s="81" t="s">
        <v>102</v>
      </c>
      <c r="S21" s="69" t="s">
        <v>103</v>
      </c>
      <c r="T21" s="69"/>
      <c r="U21" s="81" t="s">
        <v>99</v>
      </c>
      <c r="V21" s="69" t="s">
        <v>100</v>
      </c>
      <c r="W21" s="81" t="s">
        <v>101</v>
      </c>
      <c r="X21" s="81" t="s">
        <v>102</v>
      </c>
      <c r="Y21" s="69" t="s">
        <v>103</v>
      </c>
      <c r="Z21" s="81"/>
      <c r="AA21" s="69">
        <v>5</v>
      </c>
      <c r="AB21" s="69" t="s">
        <v>104</v>
      </c>
      <c r="AC21" s="82" t="s">
        <v>105</v>
      </c>
      <c r="AD21" s="106">
        <v>1</v>
      </c>
      <c r="AE21" s="110"/>
      <c r="AF21" s="110"/>
      <c r="AG21" s="83">
        <v>45627</v>
      </c>
      <c r="AH21" s="84">
        <v>45645</v>
      </c>
      <c r="AI21" s="85" t="str">
        <f t="shared" si="0"/>
        <v>～</v>
      </c>
      <c r="AJ21" s="86">
        <f t="shared" si="1"/>
        <v>47470</v>
      </c>
      <c r="AK21" s="69" t="s">
        <v>124</v>
      </c>
      <c r="AL21" s="69" t="s">
        <v>133</v>
      </c>
      <c r="AM21" s="109">
        <v>45645</v>
      </c>
      <c r="AN21" s="81"/>
      <c r="AO21" s="108">
        <v>45652</v>
      </c>
      <c r="AP21" s="81" t="s">
        <v>126</v>
      </c>
    </row>
    <row r="22" spans="1:42" ht="24.75" customHeight="1">
      <c r="A22" s="105">
        <v>19</v>
      </c>
      <c r="B22" s="69" t="s">
        <v>119</v>
      </c>
      <c r="C22" s="80" t="s">
        <v>92</v>
      </c>
      <c r="D22" s="80" t="s">
        <v>93</v>
      </c>
      <c r="E22" s="69"/>
      <c r="F22" s="69"/>
      <c r="G22" s="81" t="s">
        <v>120</v>
      </c>
      <c r="H22" s="69" t="s">
        <v>121</v>
      </c>
      <c r="I22" s="69" t="s">
        <v>76</v>
      </c>
      <c r="J22" s="81" t="s">
        <v>122</v>
      </c>
      <c r="K22" s="81"/>
      <c r="L22" s="81"/>
      <c r="M22" s="81" t="s">
        <v>123</v>
      </c>
      <c r="N22" s="81"/>
      <c r="O22" s="81" t="s">
        <v>99</v>
      </c>
      <c r="P22" s="69" t="s">
        <v>100</v>
      </c>
      <c r="Q22" s="81" t="s">
        <v>101</v>
      </c>
      <c r="R22" s="81" t="s">
        <v>102</v>
      </c>
      <c r="S22" s="69" t="s">
        <v>103</v>
      </c>
      <c r="T22" s="69"/>
      <c r="U22" s="81" t="s">
        <v>99</v>
      </c>
      <c r="V22" s="69" t="s">
        <v>100</v>
      </c>
      <c r="W22" s="81" t="s">
        <v>101</v>
      </c>
      <c r="X22" s="81" t="s">
        <v>102</v>
      </c>
      <c r="Y22" s="69" t="s">
        <v>103</v>
      </c>
      <c r="Z22" s="81"/>
      <c r="AA22" s="69">
        <v>5</v>
      </c>
      <c r="AB22" s="69" t="s">
        <v>104</v>
      </c>
      <c r="AC22" s="82" t="s">
        <v>105</v>
      </c>
      <c r="AD22" s="106">
        <v>1</v>
      </c>
      <c r="AE22" s="110"/>
      <c r="AF22" s="110"/>
      <c r="AG22" s="83">
        <v>45627</v>
      </c>
      <c r="AH22" s="84">
        <v>45645</v>
      </c>
      <c r="AI22" s="85" t="str">
        <f t="shared" si="0"/>
        <v>～</v>
      </c>
      <c r="AJ22" s="86">
        <f t="shared" si="1"/>
        <v>47470</v>
      </c>
      <c r="AK22" s="69" t="s">
        <v>115</v>
      </c>
      <c r="AL22" s="69" t="s">
        <v>134</v>
      </c>
      <c r="AM22" s="109">
        <v>45645</v>
      </c>
      <c r="AN22" s="81"/>
      <c r="AO22" s="108">
        <v>45652</v>
      </c>
      <c r="AP22" s="81" t="s">
        <v>126</v>
      </c>
    </row>
    <row r="23" spans="1:42" ht="24.75" customHeight="1">
      <c r="A23" s="105">
        <v>20</v>
      </c>
      <c r="B23" s="69" t="s">
        <v>119</v>
      </c>
      <c r="C23" s="80" t="s">
        <v>92</v>
      </c>
      <c r="D23" s="80" t="s">
        <v>93</v>
      </c>
      <c r="E23" s="69"/>
      <c r="F23" s="69"/>
      <c r="G23" s="81" t="s">
        <v>120</v>
      </c>
      <c r="H23" s="69" t="s">
        <v>121</v>
      </c>
      <c r="I23" s="69" t="s">
        <v>76</v>
      </c>
      <c r="J23" s="81" t="s">
        <v>122</v>
      </c>
      <c r="K23" s="81"/>
      <c r="L23" s="81"/>
      <c r="M23" s="81" t="s">
        <v>123</v>
      </c>
      <c r="N23" s="81"/>
      <c r="O23" s="81" t="s">
        <v>99</v>
      </c>
      <c r="P23" s="69" t="s">
        <v>100</v>
      </c>
      <c r="Q23" s="81" t="s">
        <v>101</v>
      </c>
      <c r="R23" s="81" t="s">
        <v>102</v>
      </c>
      <c r="S23" s="69" t="s">
        <v>103</v>
      </c>
      <c r="T23" s="69"/>
      <c r="U23" s="81" t="s">
        <v>99</v>
      </c>
      <c r="V23" s="69" t="s">
        <v>100</v>
      </c>
      <c r="W23" s="81" t="s">
        <v>101</v>
      </c>
      <c r="X23" s="81" t="s">
        <v>102</v>
      </c>
      <c r="Y23" s="69" t="s">
        <v>103</v>
      </c>
      <c r="Z23" s="81"/>
      <c r="AA23" s="69">
        <v>5</v>
      </c>
      <c r="AB23" s="69" t="s">
        <v>104</v>
      </c>
      <c r="AC23" s="82" t="s">
        <v>105</v>
      </c>
      <c r="AD23" s="106">
        <v>1</v>
      </c>
      <c r="AE23" s="110"/>
      <c r="AF23" s="110"/>
      <c r="AG23" s="83">
        <v>45627</v>
      </c>
      <c r="AH23" s="84">
        <v>45645</v>
      </c>
      <c r="AI23" s="85" t="str">
        <f t="shared" si="0"/>
        <v>～</v>
      </c>
      <c r="AJ23" s="86">
        <f t="shared" si="1"/>
        <v>47470</v>
      </c>
      <c r="AK23" s="69" t="s">
        <v>117</v>
      </c>
      <c r="AL23" s="69" t="s">
        <v>135</v>
      </c>
      <c r="AM23" s="109">
        <v>45645</v>
      </c>
      <c r="AN23" s="81"/>
      <c r="AO23" s="108">
        <v>45652</v>
      </c>
      <c r="AP23" s="81" t="s">
        <v>126</v>
      </c>
    </row>
  </sheetData>
  <autoFilter ref="A3:AX2251" xr:uid="{00000000-0009-0000-0000-000002000000}"/>
  <mergeCells count="6">
    <mergeCell ref="AH2:AJ2"/>
    <mergeCell ref="C2:D2"/>
    <mergeCell ref="G2:N2"/>
    <mergeCell ref="O2:T2"/>
    <mergeCell ref="U2:Z2"/>
    <mergeCell ref="AA2:AC2"/>
  </mergeCells>
  <phoneticPr fontId="7"/>
  <dataValidations count="1">
    <dataValidation type="list" allowBlank="1" showInputMessage="1" sqref="C4:C23" xr:uid="{A488261B-9741-4A0B-8B72-C9A92A70BD5D}">
      <formula1>$BD$1:$BD$2</formula1>
    </dataValidation>
  </dataValidations>
  <printOptions horizontalCentered="1"/>
  <pageMargins left="0" right="0" top="0.59055118110236227" bottom="0.39370078740157483" header="0.51181102362204722" footer="0.51181102362204722"/>
  <pageSetup paperSize="8" scale="27" fitToHeight="0" orientation="landscape"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4A90-24B5-4022-996E-7710D9C5E94B}">
  <sheetPr codeName="Sheet6"/>
  <dimension ref="A2:J10"/>
  <sheetViews>
    <sheetView workbookViewId="0"/>
  </sheetViews>
  <sheetFormatPr defaultColWidth="9" defaultRowHeight="13.5"/>
  <cols>
    <col min="1" max="1" width="15.125" style="59" bestFit="1" customWidth="1"/>
    <col min="2" max="2" width="17.25" style="59" bestFit="1" customWidth="1"/>
    <col min="3" max="3" width="123.75" style="59" customWidth="1"/>
    <col min="4" max="6" width="9" style="59"/>
    <col min="7" max="7" width="14.875" style="59" customWidth="1"/>
    <col min="8" max="8" width="16.375" style="59" customWidth="1"/>
    <col min="9" max="16384" width="9" style="59"/>
  </cols>
  <sheetData>
    <row r="2" spans="1:10">
      <c r="A2" s="280" t="s">
        <v>136</v>
      </c>
      <c r="B2" s="111" t="s">
        <v>48</v>
      </c>
      <c r="C2" s="81" t="s">
        <v>137</v>
      </c>
    </row>
    <row r="3" spans="1:10">
      <c r="A3" s="281"/>
      <c r="B3" s="69" t="s">
        <v>75</v>
      </c>
      <c r="C3" s="81" t="s">
        <v>138</v>
      </c>
    </row>
    <row r="7" spans="1:10">
      <c r="A7" s="265" t="s">
        <v>80</v>
      </c>
      <c r="B7" s="266"/>
      <c r="C7" s="267"/>
      <c r="D7" s="92" t="s">
        <v>40</v>
      </c>
      <c r="E7" s="92" t="s">
        <v>41</v>
      </c>
      <c r="F7" s="92" t="s">
        <v>42</v>
      </c>
      <c r="G7" s="93" t="s">
        <v>43</v>
      </c>
      <c r="H7" s="265" t="s">
        <v>44</v>
      </c>
      <c r="I7" s="266"/>
      <c r="J7" s="266"/>
    </row>
    <row r="8" spans="1:10" ht="30">
      <c r="A8" s="73" t="s">
        <v>82</v>
      </c>
      <c r="B8" s="78" t="s">
        <v>83</v>
      </c>
      <c r="C8" s="96" t="s">
        <v>84</v>
      </c>
      <c r="D8" s="98"/>
      <c r="E8" s="98"/>
      <c r="F8" s="98"/>
      <c r="G8" s="99"/>
      <c r="H8" s="100" t="s">
        <v>89</v>
      </c>
      <c r="I8" s="78"/>
      <c r="J8" s="101" t="s">
        <v>90</v>
      </c>
    </row>
    <row r="9" spans="1:10" ht="27">
      <c r="A9" s="69"/>
      <c r="B9" s="69"/>
      <c r="C9" s="82" t="s">
        <v>105</v>
      </c>
      <c r="D9" s="107">
        <v>1</v>
      </c>
      <c r="E9" s="107">
        <v>76500</v>
      </c>
      <c r="F9" s="107" t="str">
        <f>IF(ISBLANK($AE9),"",$AE9*$AD9)</f>
        <v/>
      </c>
      <c r="G9" s="83">
        <v>44337</v>
      </c>
      <c r="H9" s="84">
        <v>44342</v>
      </c>
      <c r="I9" s="85" t="str">
        <f>IF(ISBLANK($AG9),"","～")</f>
        <v/>
      </c>
      <c r="J9" s="86" t="str">
        <f>IF(ISBLANK($AH9),"",DATE(YEAR($AH9)+$AA9,MONTH($AH9),DAY($AH9)-1))</f>
        <v/>
      </c>
    </row>
    <row r="10" spans="1:10">
      <c r="A10" s="69"/>
      <c r="B10" s="69"/>
      <c r="C10" s="82"/>
      <c r="D10" s="107"/>
      <c r="E10" s="110"/>
      <c r="F10" s="110"/>
      <c r="G10" s="83"/>
      <c r="H10" s="84"/>
      <c r="I10" s="85" t="str">
        <f>IF(ISBLANK($AG10),"","～")</f>
        <v/>
      </c>
      <c r="J10" s="86" t="str">
        <f>IF(ISBLANK($AH10),"",DATE(YEAR($AH10)+$AA10,MONTH($AH10),DAY($AH10)-1))</f>
        <v/>
      </c>
    </row>
  </sheetData>
  <mergeCells count="3">
    <mergeCell ref="A2:A3"/>
    <mergeCell ref="A7:C7"/>
    <mergeCell ref="H7:J7"/>
  </mergeCells>
  <phoneticPr fontId="7"/>
  <conditionalFormatting sqref="A9:C10">
    <cfRule type="expression" dxfId="20" priority="1">
      <formula>$AC9="Nパケ"</formula>
    </cfRule>
  </conditionalFormatting>
  <conditionalFormatting sqref="B3">
    <cfRule type="expression" dxfId="19" priority="2">
      <formula>$D3="センドバックで使用"</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F967A-BC06-450F-B5CA-74EC5F001776}">
  <sheetPr codeName="Sheet8"/>
  <dimension ref="A1:C9"/>
  <sheetViews>
    <sheetView workbookViewId="0"/>
  </sheetViews>
  <sheetFormatPr defaultColWidth="9" defaultRowHeight="13.5"/>
  <cols>
    <col min="1" max="1" width="21.25" style="59" bestFit="1" customWidth="1"/>
    <col min="2" max="16384" width="9" style="59"/>
  </cols>
  <sheetData>
    <row r="1" spans="1:3">
      <c r="A1" s="81" t="s">
        <v>139</v>
      </c>
      <c r="B1" s="81" t="s">
        <v>140</v>
      </c>
      <c r="C1" s="81" t="s">
        <v>141</v>
      </c>
    </row>
    <row r="2" spans="1:3">
      <c r="A2" s="81" t="s">
        <v>78</v>
      </c>
      <c r="B2" s="87">
        <v>31800</v>
      </c>
      <c r="C2" s="87">
        <v>21600</v>
      </c>
    </row>
    <row r="3" spans="1:3">
      <c r="A3" s="81" t="s">
        <v>78</v>
      </c>
      <c r="B3" s="87">
        <v>31800</v>
      </c>
      <c r="C3" s="87">
        <v>21600</v>
      </c>
    </row>
    <row r="4" spans="1:3">
      <c r="A4" s="81" t="s">
        <v>78</v>
      </c>
      <c r="B4" s="87">
        <v>31800</v>
      </c>
      <c r="C4" s="87">
        <v>21600</v>
      </c>
    </row>
    <row r="5" spans="1:3">
      <c r="A5" s="81" t="s">
        <v>78</v>
      </c>
      <c r="B5" s="87">
        <v>31800</v>
      </c>
      <c r="C5" s="87">
        <v>21600</v>
      </c>
    </row>
    <row r="6" spans="1:3">
      <c r="A6" s="81" t="s">
        <v>78</v>
      </c>
      <c r="B6" s="87">
        <v>31800</v>
      </c>
      <c r="C6" s="87">
        <v>21600</v>
      </c>
    </row>
    <row r="7" spans="1:3">
      <c r="A7" s="81" t="s">
        <v>78</v>
      </c>
      <c r="B7" s="87">
        <v>31800</v>
      </c>
      <c r="C7" s="87">
        <v>21600</v>
      </c>
    </row>
    <row r="8" spans="1:3">
      <c r="A8" s="81" t="s">
        <v>142</v>
      </c>
      <c r="B8" s="87">
        <v>339600</v>
      </c>
      <c r="C8" s="87">
        <v>301200</v>
      </c>
    </row>
    <row r="9" spans="1:3">
      <c r="A9" s="81" t="s">
        <v>143</v>
      </c>
      <c r="B9" s="87">
        <f>SUM(B2:B8)</f>
        <v>530400</v>
      </c>
      <c r="C9" s="87">
        <f>SUM(C2:C8)</f>
        <v>430800</v>
      </c>
    </row>
  </sheetData>
  <phoneticPr fontId="7"/>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A315F-C0BE-498C-A368-C7AC32F1549D}">
  <sheetPr codeName="Sheet7">
    <tabColor rgb="FF00FF00"/>
  </sheetPr>
  <dimension ref="A1:F16"/>
  <sheetViews>
    <sheetView workbookViewId="0"/>
  </sheetViews>
  <sheetFormatPr defaultRowHeight="18.75"/>
  <cols>
    <col min="1" max="1" width="16.25" customWidth="1"/>
    <col min="2" max="2" width="96.25" customWidth="1"/>
    <col min="3" max="3" width="66.125" style="154" customWidth="1"/>
    <col min="5" max="5" width="13" bestFit="1" customWidth="1"/>
    <col min="6" max="6" width="13.875" bestFit="1" customWidth="1"/>
    <col min="7" max="7" width="10.25" bestFit="1" customWidth="1"/>
  </cols>
  <sheetData>
    <row r="1" spans="1:6" ht="30.75" thickBot="1">
      <c r="A1" s="20" t="s">
        <v>16</v>
      </c>
      <c r="E1" s="160" t="s">
        <v>2117</v>
      </c>
      <c r="F1" s="7"/>
    </row>
    <row r="2" spans="1:6" ht="19.5" thickBot="1">
      <c r="E2" s="161" t="s">
        <v>2121</v>
      </c>
      <c r="F2" s="162">
        <f ca="1">EOMONTH(TODAY(), -2) + 1</f>
        <v>45809</v>
      </c>
    </row>
    <row r="3" spans="1:6" ht="19.5" thickBot="1">
      <c r="A3" s="40" t="s">
        <v>17</v>
      </c>
      <c r="B3" s="41"/>
      <c r="C3" s="155"/>
      <c r="E3" s="161" t="s">
        <v>2122</v>
      </c>
      <c r="F3" s="162">
        <f ca="1">EOMONTH(TODAY(), -1)</f>
        <v>45838</v>
      </c>
    </row>
    <row r="4" spans="1:6" ht="19.5" thickBot="1">
      <c r="A4" s="42" t="s">
        <v>18</v>
      </c>
      <c r="B4" s="43" t="s">
        <v>2112</v>
      </c>
      <c r="C4" s="156"/>
      <c r="E4" s="163" t="s">
        <v>2118</v>
      </c>
      <c r="F4" s="164" cm="1">
        <f t="array" aca="1" ref="F4" ca="1">IF(COUNTIFS(オンサイト!$AO:$AO,"&gt;="&amp;$F$2,オンサイト!$AO:$AO,"&lt;="&amp;$F$3)=0,0,COUNTA(_xlfn.UNIQUE(_xlfn._xlws.FILTER(オンサイト!B:B,(オンサイト!AO:AO&gt;=EOMONTH(TODAY(),-2)+1)*(オンサイト!AO:AO&lt;=EOMONTH(TODAY(),-1))))))</f>
        <v>0</v>
      </c>
    </row>
    <row r="5" spans="1:6" ht="19.5" thickBot="1">
      <c r="A5" s="42" t="s">
        <v>19</v>
      </c>
      <c r="B5" s="43" t="s">
        <v>2113</v>
      </c>
      <c r="C5" s="156"/>
      <c r="E5" s="161" t="s">
        <v>2119</v>
      </c>
      <c r="F5" s="164" cm="1">
        <f t="array" aca="1" ref="F5" ca="1">IF(COUNTIFS(センドバック!$AO:$AO,"&gt;="&amp;$F$2,センドバック!$AO:$AO,"&lt;="&amp;$F$3)=0,0,COUNTA(_xlfn.UNIQUE(_xlfn._xlws.FILTER(センドバック!B:B,(センドバック!AO:AO&gt;=EOMONTH(TODAY(),-2)+1)*(センドバック!AO:AO&lt;=EOMONTH(TODAY(),-1))))))</f>
        <v>0</v>
      </c>
    </row>
    <row r="6" spans="1:6" ht="19.5" thickBot="1">
      <c r="A6" s="44" t="s">
        <v>20</v>
      </c>
      <c r="B6" s="45"/>
      <c r="C6" s="157"/>
      <c r="E6" s="161" t="s">
        <v>2120</v>
      </c>
      <c r="F6" s="164" cm="1">
        <f t="array" aca="1" ref="F6" ca="1">IF(COUNTIFS(Nパッケージ!$AO:$AO,"&gt;="&amp;$F$2,Nパッケージ!$AO:$AO,"&lt;="&amp;$F$3)=0,0,COUNTA(_xlfn.UNIQUE(_xlfn._xlws.FILTER(Nパッケージ!B:B,(Nパッケージ!AO:AO&gt;=EOMONTH(TODAY(),-2)+1)*(Nパッケージ!AO:AO&lt;=EOMONTH(TODAY(),-1))))))</f>
        <v>0</v>
      </c>
    </row>
    <row r="7" spans="1:6">
      <c r="A7" s="40" t="s">
        <v>21</v>
      </c>
      <c r="B7" s="46"/>
      <c r="C7" s="155"/>
    </row>
    <row r="8" spans="1:6">
      <c r="A8" s="42" t="s">
        <v>22</v>
      </c>
      <c r="B8" s="47"/>
      <c r="C8" s="156"/>
    </row>
    <row r="9" spans="1:6" ht="19.5" thickBot="1">
      <c r="A9" s="44" t="s">
        <v>23</v>
      </c>
      <c r="B9" s="48"/>
      <c r="C9" s="157"/>
    </row>
    <row r="10" spans="1:6" ht="36.75" thickBot="1">
      <c r="A10" s="49" t="s">
        <v>24</v>
      </c>
      <c r="B10" s="165" t="str">
        <f ca="1">"【i-Proケアパック】管理表送付（" &amp; YEAR(EDATE(TODAY(),-1)) &amp; "年" &amp; MONTH(EDATE(TODAY(),-1)) &amp; "月更新分)"</f>
        <v>【i-Proケアパック】管理表送付（2025年6月更新分)</v>
      </c>
      <c r="C10" s="50" t="s">
        <v>2116</v>
      </c>
    </row>
    <row r="11" spans="1:6" ht="99.95" customHeight="1">
      <c r="A11" s="40" t="s">
        <v>25</v>
      </c>
      <c r="B11" s="166" t="s">
        <v>2114</v>
      </c>
      <c r="C11" s="155"/>
    </row>
    <row r="12" spans="1:6" ht="99.95" customHeight="1">
      <c r="A12" s="42" t="s">
        <v>26</v>
      </c>
      <c r="B12" s="167" t="str">
        <f ca="1">YEAR(EDATE(TODAY(), -1)) &amp; "年" &amp; MONTH(EDATE(TODAY(), -1)) &amp; "月更新分i-Proケアパック管理表を送付させて頂きます。"</f>
        <v>2025年6月更新分i-Proケアパック管理表を送付させて頂きます。</v>
      </c>
      <c r="C12" s="51" t="s">
        <v>2115</v>
      </c>
    </row>
    <row r="13" spans="1:6" ht="178.5" customHeight="1">
      <c r="A13" s="42" t="s">
        <v>27</v>
      </c>
      <c r="B13" s="167" t="str">
        <f ca="1">_xlfn.TEXTJOIN(CHAR(10), TRUE, "＜受注情報＞", "＜" &amp; MONTH(EDATE(TODAY(), -1)) &amp; "月　受注情報＞", "・オンサイト　："&amp;$F$4&amp;"件", "・センドバック："&amp;$F$5&amp;"件", "・Nパッケージ ："&amp;$F$6&amp;"件")</f>
        <v>＜受注情報＞
＜6月　受注情報＞
・オンサイト　：0件
・センドバック：0件
・Nパッケージ ：0件</v>
      </c>
      <c r="C13" s="51" t="s">
        <v>2124</v>
      </c>
    </row>
    <row r="14" spans="1:6" ht="37.5">
      <c r="A14" s="42" t="s">
        <v>28</v>
      </c>
      <c r="B14" s="167" t="s">
        <v>2123</v>
      </c>
      <c r="C14" s="156"/>
    </row>
    <row r="15" spans="1:6">
      <c r="A15" s="42" t="s">
        <v>29</v>
      </c>
      <c r="B15" s="167"/>
      <c r="C15" s="158"/>
    </row>
    <row r="16" spans="1:6" ht="150.75" thickBot="1">
      <c r="A16" s="52" t="s">
        <v>30</v>
      </c>
      <c r="B16" s="168" t="s">
        <v>2127</v>
      </c>
      <c r="C16" s="159"/>
    </row>
  </sheetData>
  <phoneticPr fontId="7"/>
  <pageMargins left="0.7" right="0.7" top="0.75" bottom="0.75" header="0.3" footer="0.3"/>
  <pageSetup paperSize="9" scale="45"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34ABD-DD90-48D7-8030-A4A722D1397D}">
  <sheetPr codeName="Sheet11">
    <tabColor theme="1"/>
  </sheetPr>
  <dimension ref="A1:J292"/>
  <sheetViews>
    <sheetView workbookViewId="0"/>
  </sheetViews>
  <sheetFormatPr defaultRowHeight="18.75"/>
  <cols>
    <col min="1" max="1" width="18.375" bestFit="1" customWidth="1"/>
    <col min="2" max="2" width="11.25" bestFit="1" customWidth="1"/>
    <col min="3" max="3" width="8.125" bestFit="1" customWidth="1"/>
    <col min="4" max="4" width="24.75" bestFit="1" customWidth="1"/>
    <col min="5" max="5" width="14" bestFit="1" customWidth="1"/>
    <col min="6" max="6" width="28" bestFit="1" customWidth="1"/>
    <col min="7" max="7" width="14" bestFit="1" customWidth="1"/>
    <col min="8" max="8" width="27.375" bestFit="1" customWidth="1"/>
    <col min="9" max="9" width="14" bestFit="1" customWidth="1"/>
    <col min="10" max="10" width="7.5" bestFit="1" customWidth="1"/>
  </cols>
  <sheetData>
    <row r="1" spans="1:10" ht="30">
      <c r="A1" s="20" t="s">
        <v>2086</v>
      </c>
    </row>
    <row r="2" spans="1:10">
      <c r="A2" t="s">
        <v>206</v>
      </c>
      <c r="B2" t="s">
        <v>207</v>
      </c>
      <c r="C2" t="s">
        <v>208</v>
      </c>
      <c r="D2" t="s">
        <v>2059</v>
      </c>
      <c r="E2" t="s">
        <v>2060</v>
      </c>
      <c r="F2" t="s">
        <v>2061</v>
      </c>
      <c r="G2" t="s">
        <v>2062</v>
      </c>
      <c r="H2" t="s">
        <v>2063</v>
      </c>
      <c r="I2" t="s">
        <v>2064</v>
      </c>
      <c r="J2" t="s">
        <v>2087</v>
      </c>
    </row>
    <row r="3" spans="1:10">
      <c r="A3" t="s">
        <v>209</v>
      </c>
      <c r="B3" t="s">
        <v>212</v>
      </c>
      <c r="C3" t="s">
        <v>213</v>
      </c>
      <c r="D3" t="s">
        <v>210</v>
      </c>
      <c r="E3" t="s">
        <v>214</v>
      </c>
      <c r="F3" t="s">
        <v>478</v>
      </c>
      <c r="G3" t="s">
        <v>479</v>
      </c>
      <c r="H3" t="s">
        <v>608</v>
      </c>
      <c r="I3" t="s">
        <v>609</v>
      </c>
    </row>
    <row r="4" spans="1:10">
      <c r="A4" t="s">
        <v>218</v>
      </c>
      <c r="B4" t="s">
        <v>221</v>
      </c>
      <c r="C4" t="s">
        <v>213</v>
      </c>
      <c r="D4" t="s">
        <v>219</v>
      </c>
      <c r="E4" t="s">
        <v>222</v>
      </c>
      <c r="F4" t="s">
        <v>481</v>
      </c>
      <c r="G4" t="s">
        <v>483</v>
      </c>
      <c r="H4" t="s">
        <v>611</v>
      </c>
      <c r="I4" t="s">
        <v>613</v>
      </c>
    </row>
    <row r="5" spans="1:10">
      <c r="A5" t="s">
        <v>225</v>
      </c>
      <c r="B5" t="s">
        <v>227</v>
      </c>
      <c r="C5" t="s">
        <v>213</v>
      </c>
      <c r="D5" t="s">
        <v>226</v>
      </c>
      <c r="E5" t="s">
        <v>228</v>
      </c>
      <c r="F5" t="s">
        <v>485</v>
      </c>
      <c r="G5" t="s">
        <v>486</v>
      </c>
      <c r="H5" t="s">
        <v>615</v>
      </c>
      <c r="I5" t="s">
        <v>616</v>
      </c>
    </row>
    <row r="6" spans="1:10">
      <c r="A6" t="s">
        <v>231</v>
      </c>
      <c r="B6" t="s">
        <v>235</v>
      </c>
      <c r="C6" t="s">
        <v>213</v>
      </c>
      <c r="D6" t="s">
        <v>233</v>
      </c>
      <c r="E6" t="s">
        <v>236</v>
      </c>
      <c r="F6" t="s">
        <v>488</v>
      </c>
      <c r="G6" t="s">
        <v>489</v>
      </c>
      <c r="H6" t="s">
        <v>617</v>
      </c>
      <c r="I6" t="s">
        <v>619</v>
      </c>
    </row>
    <row r="7" spans="1:10">
      <c r="A7" t="s">
        <v>238</v>
      </c>
      <c r="B7" t="s">
        <v>240</v>
      </c>
      <c r="C7" t="s">
        <v>213</v>
      </c>
      <c r="D7" t="s">
        <v>239</v>
      </c>
      <c r="E7" t="s">
        <v>222</v>
      </c>
      <c r="F7" t="s">
        <v>491</v>
      </c>
      <c r="G7" t="s">
        <v>492</v>
      </c>
      <c r="H7" t="s">
        <v>621</v>
      </c>
      <c r="I7" t="s">
        <v>613</v>
      </c>
    </row>
    <row r="8" spans="1:10">
      <c r="A8" t="s">
        <v>242</v>
      </c>
      <c r="B8" t="s">
        <v>245</v>
      </c>
      <c r="C8" t="s">
        <v>213</v>
      </c>
      <c r="D8" t="s">
        <v>243</v>
      </c>
      <c r="E8" t="s">
        <v>246</v>
      </c>
      <c r="F8" t="s">
        <v>494</v>
      </c>
      <c r="G8" t="s">
        <v>496</v>
      </c>
      <c r="H8" t="s">
        <v>622</v>
      </c>
      <c r="I8" t="s">
        <v>624</v>
      </c>
    </row>
    <row r="9" spans="1:10">
      <c r="A9" t="s">
        <v>249</v>
      </c>
      <c r="B9" t="s">
        <v>251</v>
      </c>
      <c r="C9" t="s">
        <v>213</v>
      </c>
      <c r="D9" t="s">
        <v>250</v>
      </c>
      <c r="E9" t="s">
        <v>252</v>
      </c>
      <c r="F9" t="s">
        <v>498</v>
      </c>
      <c r="G9" t="s">
        <v>499</v>
      </c>
      <c r="H9" t="s">
        <v>626</v>
      </c>
      <c r="I9" t="s">
        <v>628</v>
      </c>
    </row>
    <row r="10" spans="1:10">
      <c r="A10" t="s">
        <v>254</v>
      </c>
      <c r="B10" t="s">
        <v>257</v>
      </c>
      <c r="C10" t="s">
        <v>213</v>
      </c>
      <c r="D10" t="s">
        <v>256</v>
      </c>
      <c r="E10" t="s">
        <v>258</v>
      </c>
      <c r="F10" t="s">
        <v>501</v>
      </c>
      <c r="G10" t="s">
        <v>502</v>
      </c>
      <c r="H10" t="s">
        <v>630</v>
      </c>
      <c r="I10" t="s">
        <v>423</v>
      </c>
    </row>
    <row r="11" spans="1:10">
      <c r="A11" t="s">
        <v>261</v>
      </c>
      <c r="B11" t="s">
        <v>263</v>
      </c>
      <c r="C11" t="s">
        <v>213</v>
      </c>
      <c r="D11" t="s">
        <v>262</v>
      </c>
      <c r="E11" t="s">
        <v>264</v>
      </c>
      <c r="F11" t="s">
        <v>503</v>
      </c>
      <c r="G11" t="s">
        <v>504</v>
      </c>
      <c r="H11" t="s">
        <v>632</v>
      </c>
      <c r="I11" t="s">
        <v>633</v>
      </c>
    </row>
    <row r="12" spans="1:10">
      <c r="A12" t="s">
        <v>266</v>
      </c>
      <c r="B12" t="s">
        <v>269</v>
      </c>
      <c r="C12" t="s">
        <v>213</v>
      </c>
      <c r="D12" t="s">
        <v>267</v>
      </c>
      <c r="E12" t="s">
        <v>270</v>
      </c>
      <c r="F12" t="s">
        <v>506</v>
      </c>
      <c r="G12" t="s">
        <v>508</v>
      </c>
      <c r="H12" t="s">
        <v>634</v>
      </c>
      <c r="I12" t="s">
        <v>635</v>
      </c>
    </row>
    <row r="13" spans="1:10">
      <c r="A13" t="s">
        <v>273</v>
      </c>
      <c r="B13" t="s">
        <v>276</v>
      </c>
      <c r="C13" t="s">
        <v>213</v>
      </c>
      <c r="D13" t="s">
        <v>274</v>
      </c>
      <c r="E13" t="s">
        <v>277</v>
      </c>
      <c r="F13" t="s">
        <v>510</v>
      </c>
      <c r="G13" t="s">
        <v>511</v>
      </c>
      <c r="H13" t="s">
        <v>637</v>
      </c>
      <c r="I13" t="s">
        <v>638</v>
      </c>
    </row>
    <row r="14" spans="1:10">
      <c r="A14" t="s">
        <v>280</v>
      </c>
      <c r="B14" t="s">
        <v>283</v>
      </c>
      <c r="C14" t="s">
        <v>213</v>
      </c>
      <c r="D14" t="s">
        <v>281</v>
      </c>
      <c r="E14" t="s">
        <v>284</v>
      </c>
      <c r="F14" t="s">
        <v>513</v>
      </c>
      <c r="G14" t="s">
        <v>500</v>
      </c>
      <c r="H14" t="s">
        <v>640</v>
      </c>
      <c r="I14" t="s">
        <v>629</v>
      </c>
    </row>
    <row r="15" spans="1:10">
      <c r="A15" t="s">
        <v>287</v>
      </c>
      <c r="B15" t="s">
        <v>290</v>
      </c>
      <c r="C15" t="s">
        <v>213</v>
      </c>
      <c r="D15" t="s">
        <v>288</v>
      </c>
      <c r="E15" t="s">
        <v>291</v>
      </c>
      <c r="F15" t="s">
        <v>516</v>
      </c>
      <c r="G15" t="s">
        <v>518</v>
      </c>
      <c r="H15" t="s">
        <v>642</v>
      </c>
      <c r="I15" t="s">
        <v>644</v>
      </c>
    </row>
    <row r="16" spans="1:10">
      <c r="A16" t="s">
        <v>294</v>
      </c>
      <c r="B16" t="s">
        <v>297</v>
      </c>
      <c r="C16" t="s">
        <v>213</v>
      </c>
      <c r="D16" t="s">
        <v>295</v>
      </c>
      <c r="E16" t="s">
        <v>220</v>
      </c>
      <c r="F16" t="s">
        <v>519</v>
      </c>
      <c r="G16" t="s">
        <v>520</v>
      </c>
      <c r="H16" t="s">
        <v>645</v>
      </c>
      <c r="I16" t="s">
        <v>646</v>
      </c>
    </row>
    <row r="17" spans="1:9">
      <c r="A17" t="s">
        <v>299</v>
      </c>
      <c r="B17" t="s">
        <v>301</v>
      </c>
      <c r="C17" t="s">
        <v>213</v>
      </c>
      <c r="D17" t="s">
        <v>300</v>
      </c>
      <c r="E17" t="s">
        <v>302</v>
      </c>
      <c r="F17" t="s">
        <v>522</v>
      </c>
      <c r="G17" t="s">
        <v>523</v>
      </c>
      <c r="H17" t="s">
        <v>648</v>
      </c>
      <c r="I17" t="s">
        <v>649</v>
      </c>
    </row>
    <row r="18" spans="1:9">
      <c r="A18" t="s">
        <v>305</v>
      </c>
      <c r="B18" t="s">
        <v>308</v>
      </c>
      <c r="C18" t="s">
        <v>213</v>
      </c>
      <c r="D18" t="s">
        <v>306</v>
      </c>
      <c r="E18" t="s">
        <v>309</v>
      </c>
      <c r="F18" t="s">
        <v>525</v>
      </c>
      <c r="G18" t="s">
        <v>526</v>
      </c>
      <c r="H18" t="s">
        <v>651</v>
      </c>
      <c r="I18" t="s">
        <v>652</v>
      </c>
    </row>
    <row r="19" spans="1:9">
      <c r="A19" t="s">
        <v>312</v>
      </c>
      <c r="B19" t="s">
        <v>314</v>
      </c>
      <c r="C19" t="s">
        <v>213</v>
      </c>
      <c r="D19" t="s">
        <v>313</v>
      </c>
      <c r="E19" t="s">
        <v>315</v>
      </c>
      <c r="F19" t="s">
        <v>528</v>
      </c>
      <c r="G19" t="s">
        <v>529</v>
      </c>
      <c r="H19" t="s">
        <v>653</v>
      </c>
      <c r="I19" t="s">
        <v>654</v>
      </c>
    </row>
    <row r="20" spans="1:9">
      <c r="A20" t="s">
        <v>318</v>
      </c>
      <c r="B20" t="s">
        <v>320</v>
      </c>
      <c r="C20" t="s">
        <v>213</v>
      </c>
      <c r="D20" t="s">
        <v>319</v>
      </c>
      <c r="E20" t="s">
        <v>321</v>
      </c>
      <c r="F20" t="s">
        <v>531</v>
      </c>
      <c r="G20" t="s">
        <v>532</v>
      </c>
      <c r="H20" t="s">
        <v>656</v>
      </c>
      <c r="I20" t="s">
        <v>657</v>
      </c>
    </row>
    <row r="21" spans="1:9">
      <c r="A21" t="s">
        <v>324</v>
      </c>
      <c r="B21" t="s">
        <v>326</v>
      </c>
      <c r="C21" t="s">
        <v>213</v>
      </c>
      <c r="D21" t="s">
        <v>325</v>
      </c>
      <c r="E21" t="s">
        <v>327</v>
      </c>
      <c r="F21" t="s">
        <v>533</v>
      </c>
      <c r="G21" t="s">
        <v>534</v>
      </c>
      <c r="H21" t="s">
        <v>659</v>
      </c>
      <c r="I21" t="s">
        <v>660</v>
      </c>
    </row>
    <row r="22" spans="1:9">
      <c r="A22" t="s">
        <v>330</v>
      </c>
      <c r="B22" t="s">
        <v>333</v>
      </c>
      <c r="C22" t="s">
        <v>213</v>
      </c>
      <c r="D22" t="s">
        <v>331</v>
      </c>
      <c r="E22" t="s">
        <v>334</v>
      </c>
      <c r="F22" t="s">
        <v>535</v>
      </c>
      <c r="G22" t="s">
        <v>536</v>
      </c>
      <c r="H22" t="s">
        <v>662</v>
      </c>
      <c r="I22" t="s">
        <v>663</v>
      </c>
    </row>
    <row r="23" spans="1:9">
      <c r="A23" t="s">
        <v>336</v>
      </c>
      <c r="B23" t="s">
        <v>339</v>
      </c>
      <c r="C23" t="s">
        <v>213</v>
      </c>
      <c r="D23" t="s">
        <v>337</v>
      </c>
      <c r="E23" t="s">
        <v>323</v>
      </c>
      <c r="F23" t="s">
        <v>538</v>
      </c>
      <c r="G23" t="s">
        <v>539</v>
      </c>
      <c r="H23" t="s">
        <v>665</v>
      </c>
      <c r="I23" t="s">
        <v>666</v>
      </c>
    </row>
    <row r="24" spans="1:9">
      <c r="A24" t="s">
        <v>341</v>
      </c>
      <c r="B24" t="s">
        <v>344</v>
      </c>
      <c r="C24" t="s">
        <v>213</v>
      </c>
      <c r="D24" t="s">
        <v>342</v>
      </c>
      <c r="E24" t="s">
        <v>345</v>
      </c>
      <c r="F24" t="s">
        <v>541</v>
      </c>
      <c r="G24" t="s">
        <v>542</v>
      </c>
      <c r="H24" t="s">
        <v>667</v>
      </c>
      <c r="I24" t="s">
        <v>669</v>
      </c>
    </row>
    <row r="25" spans="1:9">
      <c r="A25" t="s">
        <v>348</v>
      </c>
      <c r="B25" t="s">
        <v>351</v>
      </c>
      <c r="C25" t="s">
        <v>213</v>
      </c>
      <c r="D25" t="s">
        <v>349</v>
      </c>
      <c r="E25" t="s">
        <v>352</v>
      </c>
      <c r="F25" t="s">
        <v>544</v>
      </c>
      <c r="G25" t="s">
        <v>545</v>
      </c>
      <c r="H25" t="s">
        <v>671</v>
      </c>
      <c r="I25" t="s">
        <v>672</v>
      </c>
    </row>
    <row r="26" spans="1:9">
      <c r="A26" t="s">
        <v>355</v>
      </c>
      <c r="B26" t="s">
        <v>358</v>
      </c>
      <c r="C26" t="s">
        <v>213</v>
      </c>
      <c r="D26" t="s">
        <v>356</v>
      </c>
      <c r="E26" t="s">
        <v>359</v>
      </c>
      <c r="F26" t="s">
        <v>547</v>
      </c>
      <c r="G26" t="s">
        <v>472</v>
      </c>
      <c r="H26" t="s">
        <v>674</v>
      </c>
      <c r="I26" t="s">
        <v>631</v>
      </c>
    </row>
    <row r="27" spans="1:9">
      <c r="A27" t="s">
        <v>362</v>
      </c>
      <c r="B27" t="s">
        <v>365</v>
      </c>
      <c r="C27" t="s">
        <v>213</v>
      </c>
      <c r="D27" t="s">
        <v>363</v>
      </c>
      <c r="E27" t="s">
        <v>350</v>
      </c>
      <c r="F27" t="s">
        <v>549</v>
      </c>
      <c r="G27" t="s">
        <v>551</v>
      </c>
      <c r="H27" t="s">
        <v>677</v>
      </c>
      <c r="I27" t="s">
        <v>679</v>
      </c>
    </row>
    <row r="28" spans="1:9">
      <c r="A28" t="s">
        <v>368</v>
      </c>
      <c r="B28" t="s">
        <v>371</v>
      </c>
      <c r="C28" t="s">
        <v>213</v>
      </c>
      <c r="D28" t="s">
        <v>370</v>
      </c>
      <c r="E28" t="s">
        <v>359</v>
      </c>
      <c r="F28" t="s">
        <v>553</v>
      </c>
      <c r="G28" t="s">
        <v>472</v>
      </c>
      <c r="H28" t="s">
        <v>681</v>
      </c>
      <c r="I28" t="s">
        <v>631</v>
      </c>
    </row>
    <row r="29" spans="1:9">
      <c r="A29" t="s">
        <v>373</v>
      </c>
      <c r="B29" t="s">
        <v>375</v>
      </c>
      <c r="C29" t="s">
        <v>213</v>
      </c>
      <c r="D29" t="s">
        <v>374</v>
      </c>
      <c r="E29" t="s">
        <v>357</v>
      </c>
      <c r="F29" t="s">
        <v>555</v>
      </c>
      <c r="G29" t="s">
        <v>556</v>
      </c>
      <c r="H29" t="s">
        <v>682</v>
      </c>
      <c r="I29" t="s">
        <v>683</v>
      </c>
    </row>
    <row r="30" spans="1:9">
      <c r="A30" t="s">
        <v>377</v>
      </c>
      <c r="B30" t="s">
        <v>379</v>
      </c>
      <c r="C30" t="s">
        <v>213</v>
      </c>
      <c r="D30" t="s">
        <v>378</v>
      </c>
      <c r="E30" t="s">
        <v>380</v>
      </c>
      <c r="F30" t="s">
        <v>558</v>
      </c>
      <c r="G30" t="s">
        <v>560</v>
      </c>
      <c r="H30" t="s">
        <v>685</v>
      </c>
      <c r="I30" t="s">
        <v>687</v>
      </c>
    </row>
    <row r="31" spans="1:9">
      <c r="A31" t="s">
        <v>382</v>
      </c>
      <c r="B31" t="s">
        <v>384</v>
      </c>
      <c r="C31" t="s">
        <v>213</v>
      </c>
      <c r="D31" t="s">
        <v>383</v>
      </c>
      <c r="E31" t="s">
        <v>252</v>
      </c>
      <c r="F31" t="s">
        <v>561</v>
      </c>
      <c r="G31" t="s">
        <v>562</v>
      </c>
      <c r="H31" t="s">
        <v>688</v>
      </c>
      <c r="I31" t="s">
        <v>689</v>
      </c>
    </row>
    <row r="32" spans="1:9">
      <c r="A32" t="s">
        <v>387</v>
      </c>
      <c r="B32" t="s">
        <v>390</v>
      </c>
      <c r="C32" t="s">
        <v>213</v>
      </c>
      <c r="D32" t="s">
        <v>388</v>
      </c>
      <c r="E32" t="s">
        <v>391</v>
      </c>
      <c r="F32" t="s">
        <v>564</v>
      </c>
      <c r="G32" t="s">
        <v>565</v>
      </c>
      <c r="H32" t="s">
        <v>691</v>
      </c>
      <c r="I32" t="s">
        <v>692</v>
      </c>
    </row>
    <row r="33" spans="1:9">
      <c r="A33" t="s">
        <v>394</v>
      </c>
      <c r="B33" t="s">
        <v>396</v>
      </c>
      <c r="C33" t="s">
        <v>213</v>
      </c>
      <c r="D33" t="s">
        <v>395</v>
      </c>
      <c r="E33" t="s">
        <v>397</v>
      </c>
      <c r="F33" t="s">
        <v>567</v>
      </c>
      <c r="G33" t="s">
        <v>568</v>
      </c>
      <c r="H33" t="s">
        <v>694</v>
      </c>
      <c r="I33" t="s">
        <v>695</v>
      </c>
    </row>
    <row r="34" spans="1:9">
      <c r="A34" t="s">
        <v>400</v>
      </c>
      <c r="B34" t="s">
        <v>402</v>
      </c>
      <c r="C34" t="s">
        <v>213</v>
      </c>
      <c r="D34" t="s">
        <v>401</v>
      </c>
      <c r="E34" t="s">
        <v>279</v>
      </c>
      <c r="F34" t="s">
        <v>570</v>
      </c>
      <c r="G34" t="s">
        <v>495</v>
      </c>
      <c r="H34" t="s">
        <v>697</v>
      </c>
      <c r="I34" t="s">
        <v>623</v>
      </c>
    </row>
    <row r="35" spans="1:9">
      <c r="A35" t="s">
        <v>404</v>
      </c>
      <c r="B35" t="s">
        <v>407</v>
      </c>
      <c r="C35" t="s">
        <v>213</v>
      </c>
      <c r="D35" t="s">
        <v>405</v>
      </c>
      <c r="E35" t="s">
        <v>408</v>
      </c>
      <c r="F35" t="s">
        <v>571</v>
      </c>
      <c r="G35" t="s">
        <v>572</v>
      </c>
      <c r="H35" t="s">
        <v>698</v>
      </c>
      <c r="I35" t="s">
        <v>699</v>
      </c>
    </row>
    <row r="36" spans="1:9">
      <c r="A36" t="s">
        <v>411</v>
      </c>
      <c r="B36" t="s">
        <v>414</v>
      </c>
      <c r="C36" t="s">
        <v>213</v>
      </c>
      <c r="D36" t="s">
        <v>412</v>
      </c>
      <c r="E36" t="s">
        <v>415</v>
      </c>
      <c r="F36" t="s">
        <v>574</v>
      </c>
      <c r="G36" t="s">
        <v>575</v>
      </c>
      <c r="H36" t="s">
        <v>701</v>
      </c>
      <c r="I36" t="s">
        <v>702</v>
      </c>
    </row>
    <row r="37" spans="1:9">
      <c r="A37" t="s">
        <v>418</v>
      </c>
      <c r="B37" t="s">
        <v>420</v>
      </c>
      <c r="C37" t="s">
        <v>213</v>
      </c>
      <c r="D37" t="s">
        <v>419</v>
      </c>
      <c r="E37" t="s">
        <v>421</v>
      </c>
      <c r="F37" t="s">
        <v>576</v>
      </c>
      <c r="G37" t="s">
        <v>577</v>
      </c>
      <c r="H37" t="s">
        <v>703</v>
      </c>
      <c r="I37" t="s">
        <v>704</v>
      </c>
    </row>
    <row r="38" spans="1:9">
      <c r="A38" t="s">
        <v>424</v>
      </c>
      <c r="B38" t="s">
        <v>427</v>
      </c>
      <c r="C38" t="s">
        <v>213</v>
      </c>
      <c r="D38" t="s">
        <v>425</v>
      </c>
      <c r="E38" t="s">
        <v>428</v>
      </c>
      <c r="F38" t="s">
        <v>579</v>
      </c>
      <c r="G38" t="s">
        <v>580</v>
      </c>
      <c r="H38" t="s">
        <v>706</v>
      </c>
      <c r="I38" t="s">
        <v>707</v>
      </c>
    </row>
    <row r="39" spans="1:9">
      <c r="A39" t="s">
        <v>430</v>
      </c>
      <c r="B39" t="s">
        <v>433</v>
      </c>
      <c r="C39" t="s">
        <v>213</v>
      </c>
      <c r="D39" t="s">
        <v>431</v>
      </c>
      <c r="E39" t="s">
        <v>282</v>
      </c>
      <c r="F39" t="s">
        <v>582</v>
      </c>
      <c r="G39" t="s">
        <v>584</v>
      </c>
      <c r="H39" t="s">
        <v>709</v>
      </c>
      <c r="I39" t="s">
        <v>711</v>
      </c>
    </row>
    <row r="40" spans="1:9">
      <c r="A40" t="s">
        <v>436</v>
      </c>
      <c r="B40" t="s">
        <v>438</v>
      </c>
      <c r="C40" t="s">
        <v>213</v>
      </c>
      <c r="D40" t="s">
        <v>437</v>
      </c>
      <c r="E40" t="s">
        <v>439</v>
      </c>
      <c r="F40" t="s">
        <v>586</v>
      </c>
      <c r="G40" t="s">
        <v>587</v>
      </c>
      <c r="H40" t="s">
        <v>712</v>
      </c>
      <c r="I40" t="s">
        <v>713</v>
      </c>
    </row>
    <row r="41" spans="1:9">
      <c r="A41" t="s">
        <v>442</v>
      </c>
      <c r="B41" t="s">
        <v>444</v>
      </c>
      <c r="C41" t="s">
        <v>213</v>
      </c>
      <c r="D41" t="s">
        <v>443</v>
      </c>
      <c r="E41" t="s">
        <v>445</v>
      </c>
      <c r="F41" t="s">
        <v>588</v>
      </c>
      <c r="G41" t="s">
        <v>589</v>
      </c>
      <c r="H41" t="s">
        <v>715</v>
      </c>
      <c r="I41" t="s">
        <v>717</v>
      </c>
    </row>
    <row r="42" spans="1:9">
      <c r="A42" t="s">
        <v>447</v>
      </c>
      <c r="B42" t="s">
        <v>449</v>
      </c>
      <c r="C42" t="s">
        <v>213</v>
      </c>
      <c r="D42" t="s">
        <v>448</v>
      </c>
      <c r="E42" t="s">
        <v>450</v>
      </c>
      <c r="F42" t="s">
        <v>591</v>
      </c>
      <c r="G42" t="s">
        <v>255</v>
      </c>
      <c r="H42" t="s">
        <v>718</v>
      </c>
      <c r="I42" t="s">
        <v>719</v>
      </c>
    </row>
    <row r="43" spans="1:9">
      <c r="A43" t="s">
        <v>453</v>
      </c>
      <c r="B43" t="s">
        <v>456</v>
      </c>
      <c r="C43" t="s">
        <v>213</v>
      </c>
      <c r="D43" t="s">
        <v>454</v>
      </c>
      <c r="E43" t="s">
        <v>307</v>
      </c>
      <c r="F43" t="s">
        <v>593</v>
      </c>
      <c r="G43" t="s">
        <v>583</v>
      </c>
      <c r="H43" t="s">
        <v>720</v>
      </c>
      <c r="I43" t="s">
        <v>710</v>
      </c>
    </row>
    <row r="44" spans="1:9">
      <c r="A44" t="s">
        <v>459</v>
      </c>
      <c r="B44" t="s">
        <v>235</v>
      </c>
      <c r="C44" t="s">
        <v>213</v>
      </c>
      <c r="D44" t="s">
        <v>460</v>
      </c>
      <c r="E44" t="s">
        <v>236</v>
      </c>
      <c r="F44" t="s">
        <v>596</v>
      </c>
      <c r="G44" t="s">
        <v>537</v>
      </c>
      <c r="H44" t="s">
        <v>722</v>
      </c>
      <c r="I44" t="s">
        <v>723</v>
      </c>
    </row>
    <row r="45" spans="1:9">
      <c r="A45" t="s">
        <v>462</v>
      </c>
      <c r="B45" t="s">
        <v>456</v>
      </c>
      <c r="C45" t="s">
        <v>213</v>
      </c>
      <c r="D45" t="s">
        <v>463</v>
      </c>
      <c r="E45" t="s">
        <v>307</v>
      </c>
      <c r="F45" t="s">
        <v>597</v>
      </c>
      <c r="G45" t="s">
        <v>583</v>
      </c>
      <c r="H45" t="s">
        <v>724</v>
      </c>
      <c r="I45" t="s">
        <v>710</v>
      </c>
    </row>
    <row r="46" spans="1:9">
      <c r="A46" t="s">
        <v>464</v>
      </c>
      <c r="B46" t="s">
        <v>466</v>
      </c>
      <c r="C46" t="s">
        <v>213</v>
      </c>
      <c r="D46" t="s">
        <v>465</v>
      </c>
      <c r="E46" t="s">
        <v>311</v>
      </c>
      <c r="F46" t="s">
        <v>598</v>
      </c>
      <c r="G46" t="s">
        <v>600</v>
      </c>
      <c r="H46" t="s">
        <v>725</v>
      </c>
      <c r="I46" t="s">
        <v>727</v>
      </c>
    </row>
    <row r="47" spans="1:9">
      <c r="A47" t="s">
        <v>468</v>
      </c>
      <c r="B47" t="s">
        <v>471</v>
      </c>
      <c r="C47" t="s">
        <v>213</v>
      </c>
      <c r="D47" t="s">
        <v>469</v>
      </c>
      <c r="E47" t="s">
        <v>472</v>
      </c>
      <c r="F47" t="s">
        <v>602</v>
      </c>
      <c r="G47" t="s">
        <v>603</v>
      </c>
      <c r="H47" t="s">
        <v>728</v>
      </c>
      <c r="I47" t="s">
        <v>729</v>
      </c>
    </row>
    <row r="48" spans="1:9">
      <c r="A48" t="s">
        <v>474</v>
      </c>
      <c r="B48" t="s">
        <v>476</v>
      </c>
      <c r="C48" t="s">
        <v>213</v>
      </c>
      <c r="D48" t="s">
        <v>475</v>
      </c>
      <c r="E48" t="s">
        <v>458</v>
      </c>
      <c r="F48" t="s">
        <v>605</v>
      </c>
      <c r="G48" t="s">
        <v>606</v>
      </c>
      <c r="H48" t="s">
        <v>730</v>
      </c>
      <c r="I48" t="s">
        <v>731</v>
      </c>
    </row>
    <row r="49" spans="1:9">
      <c r="A49" t="s">
        <v>733</v>
      </c>
      <c r="B49" t="s">
        <v>736</v>
      </c>
      <c r="C49" t="s">
        <v>213</v>
      </c>
      <c r="D49" t="s">
        <v>734</v>
      </c>
      <c r="E49" t="s">
        <v>484</v>
      </c>
      <c r="F49" t="s">
        <v>757</v>
      </c>
      <c r="G49" t="s">
        <v>758</v>
      </c>
      <c r="H49" t="s">
        <v>770</v>
      </c>
      <c r="I49" t="s">
        <v>771</v>
      </c>
    </row>
    <row r="50" spans="1:9">
      <c r="A50" t="s">
        <v>739</v>
      </c>
      <c r="B50" t="s">
        <v>741</v>
      </c>
      <c r="C50" t="s">
        <v>213</v>
      </c>
      <c r="D50" t="s">
        <v>740</v>
      </c>
      <c r="E50" t="s">
        <v>742</v>
      </c>
      <c r="F50" t="s">
        <v>760</v>
      </c>
      <c r="G50" t="s">
        <v>761</v>
      </c>
      <c r="H50" t="s">
        <v>772</v>
      </c>
      <c r="I50" t="s">
        <v>773</v>
      </c>
    </row>
    <row r="51" spans="1:9">
      <c r="A51" t="s">
        <v>745</v>
      </c>
      <c r="B51" t="s">
        <v>747</v>
      </c>
      <c r="C51" t="s">
        <v>213</v>
      </c>
      <c r="D51" t="s">
        <v>746</v>
      </c>
      <c r="E51" t="s">
        <v>748</v>
      </c>
      <c r="F51" t="s">
        <v>763</v>
      </c>
      <c r="G51" t="s">
        <v>765</v>
      </c>
      <c r="H51" t="s">
        <v>775</v>
      </c>
      <c r="I51" t="s">
        <v>776</v>
      </c>
    </row>
    <row r="52" spans="1:9">
      <c r="A52" t="s">
        <v>750</v>
      </c>
      <c r="B52" t="s">
        <v>753</v>
      </c>
      <c r="C52" t="s">
        <v>213</v>
      </c>
      <c r="D52" t="s">
        <v>751</v>
      </c>
      <c r="E52" t="s">
        <v>754</v>
      </c>
      <c r="F52" t="s">
        <v>767</v>
      </c>
      <c r="G52" t="s">
        <v>768</v>
      </c>
      <c r="H52" t="s">
        <v>778</v>
      </c>
      <c r="I52" t="s">
        <v>779</v>
      </c>
    </row>
    <row r="53" spans="1:9">
      <c r="A53" t="s">
        <v>781</v>
      </c>
      <c r="B53" t="s">
        <v>783</v>
      </c>
      <c r="C53" t="s">
        <v>213</v>
      </c>
      <c r="D53" t="s">
        <v>782</v>
      </c>
      <c r="E53" t="s">
        <v>784</v>
      </c>
      <c r="F53" t="s">
        <v>912</v>
      </c>
      <c r="G53" t="s">
        <v>913</v>
      </c>
      <c r="H53" t="s">
        <v>979</v>
      </c>
      <c r="I53" t="s">
        <v>764</v>
      </c>
    </row>
    <row r="54" spans="1:9">
      <c r="A54" t="s">
        <v>786</v>
      </c>
      <c r="B54" t="s">
        <v>788</v>
      </c>
      <c r="C54" t="s">
        <v>213</v>
      </c>
      <c r="D54" t="s">
        <v>787</v>
      </c>
      <c r="E54" t="s">
        <v>789</v>
      </c>
      <c r="F54" t="s">
        <v>915</v>
      </c>
      <c r="G54" t="s">
        <v>916</v>
      </c>
      <c r="H54" t="s">
        <v>981</v>
      </c>
      <c r="I54" t="s">
        <v>982</v>
      </c>
    </row>
    <row r="55" spans="1:9">
      <c r="A55" t="s">
        <v>792</v>
      </c>
      <c r="B55" t="s">
        <v>794</v>
      </c>
      <c r="C55" t="s">
        <v>213</v>
      </c>
      <c r="D55" t="s">
        <v>793</v>
      </c>
      <c r="E55" t="s">
        <v>795</v>
      </c>
      <c r="F55" t="s">
        <v>917</v>
      </c>
      <c r="G55" t="s">
        <v>918</v>
      </c>
      <c r="H55" t="s">
        <v>984</v>
      </c>
      <c r="I55" t="s">
        <v>985</v>
      </c>
    </row>
    <row r="56" spans="1:9">
      <c r="A56" t="s">
        <v>798</v>
      </c>
      <c r="B56" t="s">
        <v>800</v>
      </c>
      <c r="C56" t="s">
        <v>213</v>
      </c>
      <c r="D56" t="s">
        <v>799</v>
      </c>
      <c r="E56" t="s">
        <v>801</v>
      </c>
      <c r="F56" t="s">
        <v>920</v>
      </c>
      <c r="G56" t="s">
        <v>921</v>
      </c>
      <c r="H56" t="s">
        <v>987</v>
      </c>
      <c r="I56" t="s">
        <v>988</v>
      </c>
    </row>
    <row r="57" spans="1:9">
      <c r="A57" t="s">
        <v>804</v>
      </c>
      <c r="B57" t="s">
        <v>806</v>
      </c>
      <c r="C57" t="s">
        <v>213</v>
      </c>
      <c r="D57" t="s">
        <v>805</v>
      </c>
      <c r="E57" t="s">
        <v>807</v>
      </c>
      <c r="F57" t="s">
        <v>923</v>
      </c>
      <c r="G57" t="s">
        <v>924</v>
      </c>
      <c r="H57" t="s">
        <v>990</v>
      </c>
      <c r="I57" t="s">
        <v>991</v>
      </c>
    </row>
    <row r="58" spans="1:9">
      <c r="A58" t="s">
        <v>810</v>
      </c>
      <c r="B58" t="s">
        <v>812</v>
      </c>
      <c r="C58" t="s">
        <v>213</v>
      </c>
      <c r="D58" t="s">
        <v>811</v>
      </c>
      <c r="E58" t="s">
        <v>813</v>
      </c>
      <c r="F58" t="s">
        <v>926</v>
      </c>
      <c r="G58" t="s">
        <v>927</v>
      </c>
      <c r="H58" t="s">
        <v>993</v>
      </c>
      <c r="I58" t="s">
        <v>994</v>
      </c>
    </row>
    <row r="59" spans="1:9">
      <c r="A59" t="s">
        <v>197</v>
      </c>
      <c r="B59" t="s">
        <v>817</v>
      </c>
      <c r="C59" t="s">
        <v>213</v>
      </c>
      <c r="D59" t="s">
        <v>816</v>
      </c>
      <c r="E59" t="s">
        <v>818</v>
      </c>
      <c r="F59" t="s">
        <v>928</v>
      </c>
      <c r="G59" t="s">
        <v>929</v>
      </c>
      <c r="H59" t="s">
        <v>995</v>
      </c>
      <c r="I59" t="s">
        <v>996</v>
      </c>
    </row>
    <row r="60" spans="1:9">
      <c r="A60" t="s">
        <v>821</v>
      </c>
      <c r="B60" t="s">
        <v>823</v>
      </c>
      <c r="C60" t="s">
        <v>213</v>
      </c>
      <c r="D60" t="s">
        <v>822</v>
      </c>
      <c r="E60" t="s">
        <v>824</v>
      </c>
      <c r="F60" t="s">
        <v>931</v>
      </c>
      <c r="G60" t="s">
        <v>932</v>
      </c>
      <c r="H60" t="s">
        <v>998</v>
      </c>
      <c r="I60" t="s">
        <v>999</v>
      </c>
    </row>
    <row r="61" spans="1:9">
      <c r="A61" t="s">
        <v>827</v>
      </c>
      <c r="B61" t="s">
        <v>829</v>
      </c>
      <c r="C61" t="s">
        <v>213</v>
      </c>
      <c r="D61" t="s">
        <v>828</v>
      </c>
      <c r="E61" t="s">
        <v>830</v>
      </c>
      <c r="F61" t="s">
        <v>934</v>
      </c>
      <c r="G61" t="s">
        <v>935</v>
      </c>
      <c r="H61" t="s">
        <v>1001</v>
      </c>
      <c r="I61" t="s">
        <v>929</v>
      </c>
    </row>
    <row r="62" spans="1:9">
      <c r="A62" t="s">
        <v>833</v>
      </c>
      <c r="B62" t="s">
        <v>835</v>
      </c>
      <c r="C62" t="s">
        <v>213</v>
      </c>
      <c r="D62" t="s">
        <v>834</v>
      </c>
      <c r="E62" t="s">
        <v>836</v>
      </c>
      <c r="F62" t="s">
        <v>937</v>
      </c>
      <c r="G62" t="s">
        <v>938</v>
      </c>
      <c r="H62" t="s">
        <v>1003</v>
      </c>
      <c r="I62" t="s">
        <v>1004</v>
      </c>
    </row>
    <row r="63" spans="1:9">
      <c r="A63" t="s">
        <v>838</v>
      </c>
      <c r="B63" t="s">
        <v>840</v>
      </c>
      <c r="C63" t="s">
        <v>213</v>
      </c>
      <c r="D63" t="s">
        <v>839</v>
      </c>
      <c r="E63" t="s">
        <v>841</v>
      </c>
      <c r="F63" t="s">
        <v>940</v>
      </c>
      <c r="G63" t="s">
        <v>941</v>
      </c>
      <c r="H63" t="s">
        <v>1006</v>
      </c>
      <c r="I63" t="s">
        <v>1007</v>
      </c>
    </row>
    <row r="64" spans="1:9">
      <c r="A64" t="s">
        <v>844</v>
      </c>
      <c r="B64" t="s">
        <v>846</v>
      </c>
      <c r="C64" t="s">
        <v>213</v>
      </c>
      <c r="D64" t="s">
        <v>845</v>
      </c>
      <c r="E64" t="s">
        <v>607</v>
      </c>
      <c r="F64" t="s">
        <v>943</v>
      </c>
      <c r="G64" t="s">
        <v>944</v>
      </c>
      <c r="H64" t="s">
        <v>1009</v>
      </c>
      <c r="I64" t="s">
        <v>1010</v>
      </c>
    </row>
    <row r="65" spans="1:9">
      <c r="A65" t="s">
        <v>849</v>
      </c>
      <c r="B65" t="s">
        <v>851</v>
      </c>
      <c r="C65" t="s">
        <v>213</v>
      </c>
      <c r="D65" t="s">
        <v>850</v>
      </c>
      <c r="E65" t="s">
        <v>852</v>
      </c>
      <c r="F65" t="s">
        <v>946</v>
      </c>
      <c r="G65" t="s">
        <v>947</v>
      </c>
      <c r="H65" t="s">
        <v>1012</v>
      </c>
      <c r="I65" t="s">
        <v>1013</v>
      </c>
    </row>
    <row r="66" spans="1:9">
      <c r="A66" t="s">
        <v>855</v>
      </c>
      <c r="B66" t="s">
        <v>858</v>
      </c>
      <c r="C66" t="s">
        <v>213</v>
      </c>
      <c r="D66" t="s">
        <v>856</v>
      </c>
      <c r="E66" t="s">
        <v>859</v>
      </c>
      <c r="F66" t="s">
        <v>949</v>
      </c>
      <c r="G66" t="s">
        <v>950</v>
      </c>
      <c r="H66" t="s">
        <v>1015</v>
      </c>
      <c r="I66" t="s">
        <v>1016</v>
      </c>
    </row>
    <row r="67" spans="1:9">
      <c r="A67" t="s">
        <v>862</v>
      </c>
      <c r="B67" t="s">
        <v>864</v>
      </c>
      <c r="C67" t="s">
        <v>213</v>
      </c>
      <c r="D67" t="s">
        <v>863</v>
      </c>
      <c r="E67" t="s">
        <v>865</v>
      </c>
      <c r="F67" t="s">
        <v>952</v>
      </c>
      <c r="G67" t="s">
        <v>953</v>
      </c>
      <c r="H67" t="s">
        <v>1018</v>
      </c>
      <c r="I67" t="s">
        <v>1019</v>
      </c>
    </row>
    <row r="68" spans="1:9">
      <c r="A68" t="s">
        <v>2065</v>
      </c>
      <c r="B68" t="s">
        <v>869</v>
      </c>
      <c r="C68" t="s">
        <v>213</v>
      </c>
      <c r="D68" t="s">
        <v>868</v>
      </c>
      <c r="E68" t="s">
        <v>870</v>
      </c>
      <c r="F68" t="s">
        <v>955</v>
      </c>
      <c r="G68" t="s">
        <v>956</v>
      </c>
      <c r="H68" t="s">
        <v>1021</v>
      </c>
      <c r="I68" t="s">
        <v>1022</v>
      </c>
    </row>
    <row r="69" spans="1:9">
      <c r="A69" t="s">
        <v>2066</v>
      </c>
      <c r="B69" t="s">
        <v>874</v>
      </c>
      <c r="C69" t="s">
        <v>213</v>
      </c>
      <c r="D69" t="s">
        <v>873</v>
      </c>
      <c r="E69" t="s">
        <v>875</v>
      </c>
      <c r="F69" t="s">
        <v>957</v>
      </c>
      <c r="G69" t="s">
        <v>958</v>
      </c>
      <c r="H69" t="s">
        <v>1024</v>
      </c>
      <c r="I69" t="s">
        <v>1025</v>
      </c>
    </row>
    <row r="70" spans="1:9">
      <c r="A70" t="s">
        <v>2067</v>
      </c>
      <c r="B70" t="s">
        <v>846</v>
      </c>
      <c r="C70" t="s">
        <v>213</v>
      </c>
      <c r="D70" t="s">
        <v>878</v>
      </c>
      <c r="E70" t="s">
        <v>879</v>
      </c>
      <c r="F70" t="s">
        <v>960</v>
      </c>
      <c r="G70" t="s">
        <v>801</v>
      </c>
      <c r="H70" t="s">
        <v>1027</v>
      </c>
      <c r="I70" t="s">
        <v>670</v>
      </c>
    </row>
    <row r="71" spans="1:9">
      <c r="A71" t="s">
        <v>2068</v>
      </c>
      <c r="B71" t="s">
        <v>883</v>
      </c>
      <c r="C71" t="s">
        <v>213</v>
      </c>
      <c r="D71" t="s">
        <v>881</v>
      </c>
      <c r="E71" t="s">
        <v>884</v>
      </c>
      <c r="F71" t="s">
        <v>961</v>
      </c>
      <c r="G71" t="s">
        <v>962</v>
      </c>
      <c r="H71" t="s">
        <v>1028</v>
      </c>
      <c r="I71" t="s">
        <v>1029</v>
      </c>
    </row>
    <row r="72" spans="1:9">
      <c r="A72" t="s">
        <v>2069</v>
      </c>
      <c r="B72" t="s">
        <v>889</v>
      </c>
      <c r="C72" t="s">
        <v>213</v>
      </c>
      <c r="D72" t="s">
        <v>887</v>
      </c>
      <c r="E72" s="169">
        <v>16640</v>
      </c>
      <c r="F72" t="s">
        <v>964</v>
      </c>
      <c r="G72" t="s">
        <v>965</v>
      </c>
      <c r="H72" t="s">
        <v>1031</v>
      </c>
      <c r="I72" t="s">
        <v>1032</v>
      </c>
    </row>
    <row r="73" spans="1:9">
      <c r="A73" t="s">
        <v>2070</v>
      </c>
      <c r="B73" t="s">
        <v>893</v>
      </c>
      <c r="C73" t="s">
        <v>213</v>
      </c>
      <c r="D73" t="s">
        <v>892</v>
      </c>
      <c r="E73" t="s">
        <v>888</v>
      </c>
      <c r="F73" t="s">
        <v>966</v>
      </c>
      <c r="G73" t="s">
        <v>967</v>
      </c>
      <c r="H73" t="s">
        <v>1034</v>
      </c>
      <c r="I73" t="s">
        <v>618</v>
      </c>
    </row>
    <row r="74" spans="1:9">
      <c r="A74" t="s">
        <v>2071</v>
      </c>
      <c r="B74" t="s">
        <v>897</v>
      </c>
      <c r="C74" t="s">
        <v>213</v>
      </c>
      <c r="D74" t="s">
        <v>896</v>
      </c>
      <c r="E74" t="s">
        <v>217</v>
      </c>
      <c r="F74" t="s">
        <v>969</v>
      </c>
      <c r="G74" t="s">
        <v>970</v>
      </c>
      <c r="H74" t="s">
        <v>1036</v>
      </c>
      <c r="I74" t="s">
        <v>1037</v>
      </c>
    </row>
    <row r="75" spans="1:9">
      <c r="A75" t="s">
        <v>2072</v>
      </c>
      <c r="B75" t="s">
        <v>889</v>
      </c>
      <c r="C75" t="s">
        <v>213</v>
      </c>
      <c r="D75" t="s">
        <v>900</v>
      </c>
      <c r="E75" t="s">
        <v>890</v>
      </c>
      <c r="F75" t="s">
        <v>972</v>
      </c>
      <c r="G75" t="s">
        <v>965</v>
      </c>
      <c r="H75" t="s">
        <v>1039</v>
      </c>
      <c r="I75" t="s">
        <v>1032</v>
      </c>
    </row>
    <row r="76" spans="1:9">
      <c r="A76" t="s">
        <v>2073</v>
      </c>
      <c r="B76" t="s">
        <v>897</v>
      </c>
      <c r="C76" t="s">
        <v>213</v>
      </c>
      <c r="D76" t="s">
        <v>901</v>
      </c>
      <c r="E76" t="s">
        <v>217</v>
      </c>
      <c r="F76" t="s">
        <v>973</v>
      </c>
      <c r="G76" t="s">
        <v>970</v>
      </c>
      <c r="H76" t="s">
        <v>1040</v>
      </c>
      <c r="I76" t="s">
        <v>1037</v>
      </c>
    </row>
    <row r="77" spans="1:9">
      <c r="A77" t="s">
        <v>2074</v>
      </c>
      <c r="B77" t="s">
        <v>903</v>
      </c>
      <c r="C77" t="s">
        <v>213</v>
      </c>
      <c r="D77" t="s">
        <v>902</v>
      </c>
      <c r="E77" t="s">
        <v>904</v>
      </c>
      <c r="F77" t="s">
        <v>974</v>
      </c>
      <c r="G77" t="s">
        <v>975</v>
      </c>
      <c r="H77" t="s">
        <v>1041</v>
      </c>
      <c r="I77" t="s">
        <v>1042</v>
      </c>
    </row>
    <row r="78" spans="1:9">
      <c r="A78" t="s">
        <v>2075</v>
      </c>
      <c r="B78" t="s">
        <v>908</v>
      </c>
      <c r="C78" t="s">
        <v>213</v>
      </c>
      <c r="D78" t="s">
        <v>907</v>
      </c>
      <c r="E78" t="s">
        <v>909</v>
      </c>
      <c r="F78" t="s">
        <v>977</v>
      </c>
      <c r="G78" t="s">
        <v>978</v>
      </c>
      <c r="H78" t="s">
        <v>1044</v>
      </c>
      <c r="I78" t="s">
        <v>1045</v>
      </c>
    </row>
    <row r="79" spans="1:9">
      <c r="A79" t="s">
        <v>209</v>
      </c>
      <c r="B79" t="s">
        <v>212</v>
      </c>
      <c r="C79" t="s">
        <v>213</v>
      </c>
      <c r="D79" t="s">
        <v>1047</v>
      </c>
      <c r="E79" t="s">
        <v>279</v>
      </c>
      <c r="F79" t="s">
        <v>1119</v>
      </c>
      <c r="G79" t="s">
        <v>527</v>
      </c>
      <c r="H79" t="s">
        <v>1208</v>
      </c>
      <c r="I79" t="s">
        <v>1210</v>
      </c>
    </row>
    <row r="80" spans="1:9">
      <c r="A80" t="s">
        <v>218</v>
      </c>
      <c r="B80" t="s">
        <v>221</v>
      </c>
      <c r="C80" t="s">
        <v>213</v>
      </c>
      <c r="D80" t="s">
        <v>1048</v>
      </c>
      <c r="E80" t="s">
        <v>270</v>
      </c>
      <c r="F80" t="s">
        <v>1120</v>
      </c>
      <c r="G80" t="s">
        <v>1121</v>
      </c>
      <c r="H80" t="s">
        <v>1212</v>
      </c>
      <c r="I80" t="s">
        <v>1213</v>
      </c>
    </row>
    <row r="81" spans="1:9">
      <c r="A81" t="s">
        <v>225</v>
      </c>
      <c r="B81" t="s">
        <v>227</v>
      </c>
      <c r="C81" t="s">
        <v>213</v>
      </c>
      <c r="D81" t="s">
        <v>1050</v>
      </c>
      <c r="E81" t="s">
        <v>680</v>
      </c>
      <c r="F81" t="s">
        <v>1122</v>
      </c>
      <c r="G81" t="s">
        <v>1123</v>
      </c>
      <c r="H81" t="s">
        <v>1214</v>
      </c>
      <c r="I81" t="s">
        <v>721</v>
      </c>
    </row>
    <row r="82" spans="1:9">
      <c r="A82" t="s">
        <v>231</v>
      </c>
      <c r="B82" t="s">
        <v>235</v>
      </c>
      <c r="C82" t="s">
        <v>213</v>
      </c>
      <c r="D82" t="s">
        <v>1053</v>
      </c>
      <c r="E82" t="s">
        <v>284</v>
      </c>
      <c r="F82" t="s">
        <v>1125</v>
      </c>
      <c r="G82" t="s">
        <v>551</v>
      </c>
      <c r="H82" t="s">
        <v>1216</v>
      </c>
      <c r="I82" t="s">
        <v>1217</v>
      </c>
    </row>
    <row r="83" spans="1:9">
      <c r="A83" t="s">
        <v>238</v>
      </c>
      <c r="B83" t="s">
        <v>240</v>
      </c>
      <c r="C83" t="s">
        <v>213</v>
      </c>
      <c r="D83" t="s">
        <v>1054</v>
      </c>
      <c r="E83" t="s">
        <v>286</v>
      </c>
      <c r="F83" t="s">
        <v>1126</v>
      </c>
      <c r="G83" t="s">
        <v>1121</v>
      </c>
      <c r="H83" t="s">
        <v>1218</v>
      </c>
      <c r="I83" t="s">
        <v>1213</v>
      </c>
    </row>
    <row r="84" spans="1:9">
      <c r="A84" t="s">
        <v>242</v>
      </c>
      <c r="B84" t="s">
        <v>245</v>
      </c>
      <c r="C84" t="s">
        <v>213</v>
      </c>
      <c r="D84" t="s">
        <v>1055</v>
      </c>
      <c r="E84" t="s">
        <v>1056</v>
      </c>
      <c r="F84" t="s">
        <v>1127</v>
      </c>
      <c r="G84" t="s">
        <v>1128</v>
      </c>
      <c r="H84" t="s">
        <v>1219</v>
      </c>
      <c r="I84" t="s">
        <v>560</v>
      </c>
    </row>
    <row r="85" spans="1:9">
      <c r="A85" t="s">
        <v>249</v>
      </c>
      <c r="B85" t="s">
        <v>251</v>
      </c>
      <c r="C85" t="s">
        <v>213</v>
      </c>
      <c r="D85" t="s">
        <v>1057</v>
      </c>
      <c r="E85" t="s">
        <v>1058</v>
      </c>
      <c r="F85" t="s">
        <v>1130</v>
      </c>
      <c r="G85" t="s">
        <v>1131</v>
      </c>
      <c r="H85" t="s">
        <v>1221</v>
      </c>
      <c r="I85" t="s">
        <v>423</v>
      </c>
    </row>
    <row r="86" spans="1:9">
      <c r="A86" t="s">
        <v>254</v>
      </c>
      <c r="B86" t="s">
        <v>257</v>
      </c>
      <c r="C86" t="s">
        <v>213</v>
      </c>
      <c r="D86" t="s">
        <v>1059</v>
      </c>
      <c r="E86" t="s">
        <v>350</v>
      </c>
      <c r="F86" t="s">
        <v>1133</v>
      </c>
      <c r="G86" t="s">
        <v>1134</v>
      </c>
      <c r="H86" t="s">
        <v>1222</v>
      </c>
      <c r="I86" t="s">
        <v>1145</v>
      </c>
    </row>
    <row r="87" spans="1:9">
      <c r="A87" t="s">
        <v>261</v>
      </c>
      <c r="B87" t="s">
        <v>263</v>
      </c>
      <c r="C87" t="s">
        <v>213</v>
      </c>
      <c r="D87" t="s">
        <v>1061</v>
      </c>
      <c r="E87" t="s">
        <v>1062</v>
      </c>
      <c r="F87" t="s">
        <v>1135</v>
      </c>
      <c r="G87" t="s">
        <v>1136</v>
      </c>
      <c r="H87" t="s">
        <v>1223</v>
      </c>
      <c r="I87" t="s">
        <v>680</v>
      </c>
    </row>
    <row r="88" spans="1:9">
      <c r="A88" t="s">
        <v>266</v>
      </c>
      <c r="B88" t="s">
        <v>269</v>
      </c>
      <c r="C88" t="s">
        <v>213</v>
      </c>
      <c r="D88" t="s">
        <v>1063</v>
      </c>
      <c r="E88" t="s">
        <v>258</v>
      </c>
      <c r="F88" t="s">
        <v>1138</v>
      </c>
      <c r="G88" t="s">
        <v>1140</v>
      </c>
      <c r="H88" t="s">
        <v>1225</v>
      </c>
      <c r="I88" t="s">
        <v>672</v>
      </c>
    </row>
    <row r="89" spans="1:9">
      <c r="A89" t="s">
        <v>273</v>
      </c>
      <c r="B89" t="s">
        <v>276</v>
      </c>
      <c r="C89" t="s">
        <v>213</v>
      </c>
      <c r="D89" t="s">
        <v>1065</v>
      </c>
      <c r="E89" t="s">
        <v>458</v>
      </c>
      <c r="F89" t="s">
        <v>1141</v>
      </c>
      <c r="G89" t="s">
        <v>585</v>
      </c>
      <c r="H89" t="s">
        <v>1226</v>
      </c>
      <c r="I89" t="s">
        <v>1227</v>
      </c>
    </row>
    <row r="90" spans="1:9">
      <c r="A90" t="s">
        <v>280</v>
      </c>
      <c r="B90" t="s">
        <v>283</v>
      </c>
      <c r="C90" t="s">
        <v>213</v>
      </c>
      <c r="D90" t="s">
        <v>1067</v>
      </c>
      <c r="E90" t="s">
        <v>380</v>
      </c>
      <c r="F90" t="s">
        <v>1142</v>
      </c>
      <c r="G90" t="s">
        <v>1132</v>
      </c>
      <c r="H90" t="s">
        <v>1228</v>
      </c>
      <c r="I90" t="s">
        <v>631</v>
      </c>
    </row>
    <row r="91" spans="1:9">
      <c r="A91" t="s">
        <v>287</v>
      </c>
      <c r="B91" t="s">
        <v>290</v>
      </c>
      <c r="C91" t="s">
        <v>213</v>
      </c>
      <c r="D91" t="s">
        <v>1069</v>
      </c>
      <c r="E91" t="s">
        <v>445</v>
      </c>
      <c r="F91" t="s">
        <v>1143</v>
      </c>
      <c r="G91" t="s">
        <v>230</v>
      </c>
      <c r="H91" t="s">
        <v>1229</v>
      </c>
      <c r="I91" t="s">
        <v>343</v>
      </c>
    </row>
    <row r="92" spans="1:9">
      <c r="A92" t="s">
        <v>294</v>
      </c>
      <c r="B92" t="s">
        <v>297</v>
      </c>
      <c r="C92" t="s">
        <v>213</v>
      </c>
      <c r="D92" t="s">
        <v>1070</v>
      </c>
      <c r="E92" t="s">
        <v>268</v>
      </c>
      <c r="F92" t="s">
        <v>1144</v>
      </c>
      <c r="G92" t="s">
        <v>275</v>
      </c>
      <c r="H92" t="s">
        <v>1230</v>
      </c>
      <c r="I92" t="s">
        <v>1192</v>
      </c>
    </row>
    <row r="93" spans="1:9">
      <c r="A93" t="s">
        <v>299</v>
      </c>
      <c r="B93" t="s">
        <v>301</v>
      </c>
      <c r="C93" t="s">
        <v>213</v>
      </c>
      <c r="D93" t="s">
        <v>1071</v>
      </c>
      <c r="E93" t="s">
        <v>1066</v>
      </c>
      <c r="F93" t="s">
        <v>1146</v>
      </c>
      <c r="G93" t="s">
        <v>595</v>
      </c>
      <c r="H93" t="s">
        <v>1232</v>
      </c>
      <c r="I93" t="s">
        <v>639</v>
      </c>
    </row>
    <row r="94" spans="1:9">
      <c r="A94" t="s">
        <v>305</v>
      </c>
      <c r="B94" t="s">
        <v>308</v>
      </c>
      <c r="C94" t="s">
        <v>213</v>
      </c>
      <c r="D94" t="s">
        <v>1072</v>
      </c>
      <c r="E94" t="s">
        <v>435</v>
      </c>
      <c r="F94" t="s">
        <v>1147</v>
      </c>
      <c r="G94" t="s">
        <v>1148</v>
      </c>
      <c r="H94" t="s">
        <v>1235</v>
      </c>
      <c r="I94" t="s">
        <v>756</v>
      </c>
    </row>
    <row r="95" spans="1:9">
      <c r="A95" t="s">
        <v>312</v>
      </c>
      <c r="B95" t="s">
        <v>314</v>
      </c>
      <c r="C95" t="s">
        <v>213</v>
      </c>
      <c r="D95" t="s">
        <v>1073</v>
      </c>
      <c r="E95" t="s">
        <v>391</v>
      </c>
      <c r="F95" t="s">
        <v>1150</v>
      </c>
      <c r="G95" t="s">
        <v>495</v>
      </c>
      <c r="H95" t="s">
        <v>1237</v>
      </c>
      <c r="I95" t="s">
        <v>1233</v>
      </c>
    </row>
    <row r="96" spans="1:9">
      <c r="A96" t="s">
        <v>318</v>
      </c>
      <c r="B96" t="s">
        <v>320</v>
      </c>
      <c r="C96" t="s">
        <v>213</v>
      </c>
      <c r="D96" t="s">
        <v>1075</v>
      </c>
      <c r="E96" t="s">
        <v>217</v>
      </c>
      <c r="F96" t="s">
        <v>1151</v>
      </c>
      <c r="G96" t="s">
        <v>483</v>
      </c>
      <c r="H96" t="s">
        <v>1238</v>
      </c>
      <c r="I96" t="s">
        <v>1239</v>
      </c>
    </row>
    <row r="97" spans="1:9">
      <c r="A97" t="s">
        <v>324</v>
      </c>
      <c r="B97" t="s">
        <v>326</v>
      </c>
      <c r="C97" t="s">
        <v>213</v>
      </c>
      <c r="D97" t="s">
        <v>1076</v>
      </c>
      <c r="E97" t="s">
        <v>311</v>
      </c>
      <c r="F97" t="s">
        <v>1153</v>
      </c>
      <c r="G97" t="s">
        <v>554</v>
      </c>
      <c r="H97" t="s">
        <v>1240</v>
      </c>
      <c r="I97" t="s">
        <v>1241</v>
      </c>
    </row>
    <row r="98" spans="1:9">
      <c r="A98" t="s">
        <v>330</v>
      </c>
      <c r="B98" t="s">
        <v>333</v>
      </c>
      <c r="C98" t="s">
        <v>213</v>
      </c>
      <c r="D98" t="s">
        <v>1077</v>
      </c>
      <c r="E98" t="s">
        <v>252</v>
      </c>
      <c r="F98" t="s">
        <v>1155</v>
      </c>
      <c r="G98" t="s">
        <v>1124</v>
      </c>
      <c r="H98" t="s">
        <v>1242</v>
      </c>
      <c r="I98" t="s">
        <v>1215</v>
      </c>
    </row>
    <row r="99" spans="1:9">
      <c r="A99" t="s">
        <v>336</v>
      </c>
      <c r="B99" t="s">
        <v>339</v>
      </c>
      <c r="C99" t="s">
        <v>213</v>
      </c>
      <c r="D99" t="s">
        <v>1078</v>
      </c>
      <c r="E99" t="s">
        <v>1079</v>
      </c>
      <c r="F99" t="s">
        <v>1157</v>
      </c>
      <c r="G99" t="s">
        <v>315</v>
      </c>
      <c r="H99" t="s">
        <v>1243</v>
      </c>
      <c r="I99" t="s">
        <v>690</v>
      </c>
    </row>
    <row r="100" spans="1:9">
      <c r="A100" t="s">
        <v>341</v>
      </c>
      <c r="B100" t="s">
        <v>344</v>
      </c>
      <c r="C100" t="s">
        <v>213</v>
      </c>
      <c r="D100" t="s">
        <v>1080</v>
      </c>
      <c r="E100" t="s">
        <v>1081</v>
      </c>
      <c r="F100" t="s">
        <v>1158</v>
      </c>
      <c r="G100" t="s">
        <v>1160</v>
      </c>
      <c r="H100" t="s">
        <v>1244</v>
      </c>
      <c r="I100" t="s">
        <v>1245</v>
      </c>
    </row>
    <row r="101" spans="1:9">
      <c r="A101" t="s">
        <v>348</v>
      </c>
      <c r="B101" t="s">
        <v>351</v>
      </c>
      <c r="C101" t="s">
        <v>213</v>
      </c>
      <c r="D101" t="s">
        <v>1082</v>
      </c>
      <c r="E101" t="s">
        <v>1083</v>
      </c>
      <c r="F101" t="s">
        <v>1161</v>
      </c>
      <c r="G101" t="s">
        <v>264</v>
      </c>
      <c r="H101" t="s">
        <v>1246</v>
      </c>
      <c r="I101" t="s">
        <v>1248</v>
      </c>
    </row>
    <row r="102" spans="1:9">
      <c r="A102" t="s">
        <v>355</v>
      </c>
      <c r="B102" t="s">
        <v>358</v>
      </c>
      <c r="C102" t="s">
        <v>213</v>
      </c>
      <c r="D102" t="s">
        <v>1085</v>
      </c>
      <c r="E102" t="s">
        <v>352</v>
      </c>
      <c r="F102" t="s">
        <v>1164</v>
      </c>
      <c r="G102" t="s">
        <v>1165</v>
      </c>
      <c r="H102" t="s">
        <v>1249</v>
      </c>
      <c r="I102" t="s">
        <v>1250</v>
      </c>
    </row>
    <row r="103" spans="1:9">
      <c r="A103" t="s">
        <v>362</v>
      </c>
      <c r="B103" t="s">
        <v>365</v>
      </c>
      <c r="C103" t="s">
        <v>213</v>
      </c>
      <c r="D103" t="s">
        <v>1087</v>
      </c>
      <c r="E103" t="s">
        <v>1064</v>
      </c>
      <c r="F103" t="s">
        <v>1167</v>
      </c>
      <c r="G103" t="s">
        <v>268</v>
      </c>
      <c r="H103" t="s">
        <v>1251</v>
      </c>
      <c r="I103" t="s">
        <v>1106</v>
      </c>
    </row>
    <row r="104" spans="1:9">
      <c r="A104" t="s">
        <v>368</v>
      </c>
      <c r="B104" t="s">
        <v>371</v>
      </c>
      <c r="C104" t="s">
        <v>213</v>
      </c>
      <c r="D104" t="s">
        <v>1089</v>
      </c>
      <c r="E104" t="s">
        <v>352</v>
      </c>
      <c r="F104" t="s">
        <v>1169</v>
      </c>
      <c r="G104" t="s">
        <v>1165</v>
      </c>
      <c r="H104" t="s">
        <v>1252</v>
      </c>
      <c r="I104" t="s">
        <v>1250</v>
      </c>
    </row>
    <row r="105" spans="1:9">
      <c r="A105" t="s">
        <v>373</v>
      </c>
      <c r="B105" t="s">
        <v>375</v>
      </c>
      <c r="C105" t="s">
        <v>213</v>
      </c>
      <c r="D105" t="s">
        <v>1090</v>
      </c>
      <c r="E105" t="s">
        <v>1068</v>
      </c>
      <c r="F105" t="s">
        <v>1170</v>
      </c>
      <c r="G105" t="s">
        <v>546</v>
      </c>
      <c r="H105" t="s">
        <v>1253</v>
      </c>
      <c r="I105" t="s">
        <v>1254</v>
      </c>
    </row>
    <row r="106" spans="1:9">
      <c r="A106" t="s">
        <v>377</v>
      </c>
      <c r="B106" t="s">
        <v>379</v>
      </c>
      <c r="C106" t="s">
        <v>213</v>
      </c>
      <c r="D106" t="s">
        <v>1091</v>
      </c>
      <c r="E106" t="s">
        <v>1062</v>
      </c>
      <c r="F106" t="s">
        <v>1172</v>
      </c>
      <c r="G106" t="s">
        <v>548</v>
      </c>
      <c r="H106" t="s">
        <v>1255</v>
      </c>
      <c r="I106" t="s">
        <v>1256</v>
      </c>
    </row>
    <row r="107" spans="1:9">
      <c r="A107" t="s">
        <v>382</v>
      </c>
      <c r="B107" t="s">
        <v>384</v>
      </c>
      <c r="C107" t="s">
        <v>213</v>
      </c>
      <c r="D107" t="s">
        <v>1092</v>
      </c>
      <c r="E107" t="s">
        <v>291</v>
      </c>
      <c r="F107" t="s">
        <v>1174</v>
      </c>
      <c r="G107" t="s">
        <v>1175</v>
      </c>
      <c r="H107" t="s">
        <v>1257</v>
      </c>
      <c r="I107" t="s">
        <v>1258</v>
      </c>
    </row>
    <row r="108" spans="1:9">
      <c r="A108" t="s">
        <v>387</v>
      </c>
      <c r="B108" t="s">
        <v>390</v>
      </c>
      <c r="C108" t="s">
        <v>213</v>
      </c>
      <c r="D108" t="s">
        <v>1093</v>
      </c>
      <c r="E108" t="s">
        <v>228</v>
      </c>
      <c r="F108" t="s">
        <v>1176</v>
      </c>
      <c r="G108" t="s">
        <v>1177</v>
      </c>
      <c r="H108" t="s">
        <v>1259</v>
      </c>
      <c r="I108" t="s">
        <v>713</v>
      </c>
    </row>
    <row r="109" spans="1:9">
      <c r="A109" t="s">
        <v>394</v>
      </c>
      <c r="B109" t="s">
        <v>396</v>
      </c>
      <c r="C109" t="s">
        <v>213</v>
      </c>
      <c r="D109" t="s">
        <v>1095</v>
      </c>
      <c r="E109" t="s">
        <v>1096</v>
      </c>
      <c r="F109" t="s">
        <v>1178</v>
      </c>
      <c r="G109" t="s">
        <v>1179</v>
      </c>
      <c r="H109" t="s">
        <v>1260</v>
      </c>
      <c r="I109" t="s">
        <v>1261</v>
      </c>
    </row>
    <row r="110" spans="1:9">
      <c r="A110" t="s">
        <v>400</v>
      </c>
      <c r="B110" t="s">
        <v>402</v>
      </c>
      <c r="C110" t="s">
        <v>213</v>
      </c>
      <c r="D110" t="s">
        <v>1098</v>
      </c>
      <c r="E110" t="s">
        <v>1052</v>
      </c>
      <c r="F110" t="s">
        <v>1180</v>
      </c>
      <c r="G110" t="s">
        <v>1111</v>
      </c>
      <c r="H110" t="s">
        <v>1263</v>
      </c>
      <c r="I110" t="s">
        <v>625</v>
      </c>
    </row>
    <row r="111" spans="1:9">
      <c r="A111" t="s">
        <v>404</v>
      </c>
      <c r="B111" t="s">
        <v>407</v>
      </c>
      <c r="C111" t="s">
        <v>213</v>
      </c>
      <c r="D111" t="s">
        <v>1099</v>
      </c>
      <c r="E111" t="s">
        <v>332</v>
      </c>
      <c r="F111" t="s">
        <v>1181</v>
      </c>
      <c r="G111" t="s">
        <v>1182</v>
      </c>
      <c r="H111" t="s">
        <v>1264</v>
      </c>
      <c r="I111" t="s">
        <v>1265</v>
      </c>
    </row>
    <row r="112" spans="1:9">
      <c r="A112" t="s">
        <v>411</v>
      </c>
      <c r="B112" t="s">
        <v>414</v>
      </c>
      <c r="C112" t="s">
        <v>213</v>
      </c>
      <c r="D112" t="s">
        <v>1100</v>
      </c>
      <c r="E112" t="s">
        <v>631</v>
      </c>
      <c r="F112" t="s">
        <v>1184</v>
      </c>
      <c r="G112" t="s">
        <v>1185</v>
      </c>
      <c r="H112" t="s">
        <v>1267</v>
      </c>
      <c r="I112" t="s">
        <v>1268</v>
      </c>
    </row>
    <row r="113" spans="1:9">
      <c r="A113" t="s">
        <v>418</v>
      </c>
      <c r="B113" t="s">
        <v>420</v>
      </c>
      <c r="C113" t="s">
        <v>213</v>
      </c>
      <c r="D113" t="s">
        <v>1101</v>
      </c>
      <c r="E113" t="s">
        <v>317</v>
      </c>
      <c r="F113" t="s">
        <v>1186</v>
      </c>
      <c r="G113" t="s">
        <v>766</v>
      </c>
      <c r="H113" t="s">
        <v>1269</v>
      </c>
      <c r="I113" t="s">
        <v>1270</v>
      </c>
    </row>
    <row r="114" spans="1:9">
      <c r="A114" t="s">
        <v>424</v>
      </c>
      <c r="B114" t="s">
        <v>427</v>
      </c>
      <c r="C114" t="s">
        <v>213</v>
      </c>
      <c r="D114" t="s">
        <v>1103</v>
      </c>
      <c r="E114" t="s">
        <v>214</v>
      </c>
      <c r="F114" t="s">
        <v>1189</v>
      </c>
      <c r="G114" t="s">
        <v>507</v>
      </c>
      <c r="H114" t="s">
        <v>1272</v>
      </c>
      <c r="I114" t="s">
        <v>1273</v>
      </c>
    </row>
    <row r="115" spans="1:9">
      <c r="A115" t="s">
        <v>430</v>
      </c>
      <c r="B115" t="s">
        <v>433</v>
      </c>
      <c r="C115" t="s">
        <v>213</v>
      </c>
      <c r="D115" t="s">
        <v>1105</v>
      </c>
      <c r="E115" t="s">
        <v>222</v>
      </c>
      <c r="F115" t="s">
        <v>1191</v>
      </c>
      <c r="G115" t="s">
        <v>1193</v>
      </c>
      <c r="H115" t="s">
        <v>1275</v>
      </c>
      <c r="I115" t="s">
        <v>1111</v>
      </c>
    </row>
    <row r="116" spans="1:9">
      <c r="A116" t="s">
        <v>436</v>
      </c>
      <c r="B116" t="s">
        <v>438</v>
      </c>
      <c r="C116" t="s">
        <v>213</v>
      </c>
      <c r="D116" t="s">
        <v>1108</v>
      </c>
      <c r="E116" t="s">
        <v>246</v>
      </c>
      <c r="F116" t="s">
        <v>1194</v>
      </c>
      <c r="G116" t="s">
        <v>1195</v>
      </c>
      <c r="H116" t="s">
        <v>1276</v>
      </c>
      <c r="I116" t="s">
        <v>1277</v>
      </c>
    </row>
    <row r="117" spans="1:9">
      <c r="A117" t="s">
        <v>442</v>
      </c>
      <c r="B117" t="s">
        <v>444</v>
      </c>
      <c r="C117" t="s">
        <v>213</v>
      </c>
      <c r="D117" t="s">
        <v>1109</v>
      </c>
      <c r="E117" t="s">
        <v>380</v>
      </c>
      <c r="F117" t="s">
        <v>1196</v>
      </c>
      <c r="G117" t="s">
        <v>1149</v>
      </c>
      <c r="H117" t="s">
        <v>1278</v>
      </c>
      <c r="I117" t="s">
        <v>1236</v>
      </c>
    </row>
    <row r="118" spans="1:9">
      <c r="A118" t="s">
        <v>447</v>
      </c>
      <c r="B118" t="s">
        <v>449</v>
      </c>
      <c r="C118" t="s">
        <v>213</v>
      </c>
      <c r="D118" t="s">
        <v>1110</v>
      </c>
      <c r="E118" t="s">
        <v>455</v>
      </c>
      <c r="F118" t="s">
        <v>1198</v>
      </c>
      <c r="G118" t="s">
        <v>1199</v>
      </c>
      <c r="H118" t="s">
        <v>1279</v>
      </c>
      <c r="I118" t="s">
        <v>1038</v>
      </c>
    </row>
    <row r="119" spans="1:9">
      <c r="A119" t="s">
        <v>453</v>
      </c>
      <c r="B119" t="s">
        <v>456</v>
      </c>
      <c r="C119" t="s">
        <v>213</v>
      </c>
      <c r="D119" t="s">
        <v>1112</v>
      </c>
      <c r="E119" t="s">
        <v>1106</v>
      </c>
      <c r="F119" t="s">
        <v>1200</v>
      </c>
      <c r="G119" t="s">
        <v>1192</v>
      </c>
      <c r="H119" t="s">
        <v>1281</v>
      </c>
      <c r="I119" t="s">
        <v>607</v>
      </c>
    </row>
    <row r="120" spans="1:9">
      <c r="A120" t="s">
        <v>459</v>
      </c>
      <c r="B120" t="s">
        <v>235</v>
      </c>
      <c r="C120" t="s">
        <v>213</v>
      </c>
      <c r="D120" t="s">
        <v>1113</v>
      </c>
      <c r="E120" t="s">
        <v>284</v>
      </c>
      <c r="F120" t="s">
        <v>1201</v>
      </c>
      <c r="G120" t="s">
        <v>551</v>
      </c>
      <c r="H120" t="s">
        <v>1282</v>
      </c>
      <c r="I120" t="s">
        <v>1217</v>
      </c>
    </row>
    <row r="121" spans="1:9">
      <c r="A121" t="s">
        <v>462</v>
      </c>
      <c r="B121" t="s">
        <v>456</v>
      </c>
      <c r="C121" t="s">
        <v>213</v>
      </c>
      <c r="D121" t="s">
        <v>1114</v>
      </c>
      <c r="E121" t="s">
        <v>1106</v>
      </c>
      <c r="F121" t="s">
        <v>1202</v>
      </c>
      <c r="G121" t="s">
        <v>1192</v>
      </c>
      <c r="H121" t="s">
        <v>1283</v>
      </c>
      <c r="I121" t="s">
        <v>607</v>
      </c>
    </row>
    <row r="122" spans="1:9">
      <c r="A122" t="s">
        <v>464</v>
      </c>
      <c r="B122" t="s">
        <v>466</v>
      </c>
      <c r="C122" t="s">
        <v>213</v>
      </c>
      <c r="D122" t="s">
        <v>1115</v>
      </c>
      <c r="E122" t="s">
        <v>284</v>
      </c>
      <c r="F122" t="s">
        <v>1203</v>
      </c>
      <c r="G122" t="s">
        <v>321</v>
      </c>
      <c r="H122" t="s">
        <v>1284</v>
      </c>
      <c r="I122" t="s">
        <v>415</v>
      </c>
    </row>
    <row r="123" spans="1:9">
      <c r="A123" t="s">
        <v>468</v>
      </c>
      <c r="B123" t="s">
        <v>471</v>
      </c>
      <c r="C123" t="s">
        <v>213</v>
      </c>
      <c r="D123" t="s">
        <v>1116</v>
      </c>
      <c r="E123" t="s">
        <v>552</v>
      </c>
      <c r="F123" t="s">
        <v>1204</v>
      </c>
      <c r="G123" t="s">
        <v>687</v>
      </c>
      <c r="H123" t="s">
        <v>1285</v>
      </c>
      <c r="I123" t="s">
        <v>1286</v>
      </c>
    </row>
    <row r="124" spans="1:9">
      <c r="A124" t="s">
        <v>474</v>
      </c>
      <c r="B124" t="s">
        <v>476</v>
      </c>
      <c r="C124" t="s">
        <v>213</v>
      </c>
      <c r="D124" t="s">
        <v>1117</v>
      </c>
      <c r="E124" t="s">
        <v>282</v>
      </c>
      <c r="F124" t="s">
        <v>1205</v>
      </c>
      <c r="G124" t="s">
        <v>484</v>
      </c>
      <c r="H124" t="s">
        <v>1287</v>
      </c>
      <c r="I124" t="s">
        <v>527</v>
      </c>
    </row>
    <row r="125" spans="1:9">
      <c r="A125" t="s">
        <v>733</v>
      </c>
      <c r="B125" t="s">
        <v>736</v>
      </c>
      <c r="C125" t="s">
        <v>213</v>
      </c>
      <c r="D125" t="s">
        <v>1289</v>
      </c>
      <c r="E125" t="s">
        <v>410</v>
      </c>
      <c r="F125" t="s">
        <v>1297</v>
      </c>
      <c r="G125" t="s">
        <v>512</v>
      </c>
      <c r="H125" t="s">
        <v>1303</v>
      </c>
      <c r="I125" t="s">
        <v>369</v>
      </c>
    </row>
    <row r="126" spans="1:9">
      <c r="A126" t="s">
        <v>739</v>
      </c>
      <c r="B126" t="s">
        <v>741</v>
      </c>
      <c r="C126" t="s">
        <v>213</v>
      </c>
      <c r="D126" t="s">
        <v>1292</v>
      </c>
      <c r="E126" t="s">
        <v>406</v>
      </c>
      <c r="F126" t="s">
        <v>1299</v>
      </c>
      <c r="G126" t="s">
        <v>603</v>
      </c>
      <c r="H126" t="s">
        <v>1306</v>
      </c>
      <c r="I126" t="s">
        <v>1307</v>
      </c>
    </row>
    <row r="127" spans="1:9">
      <c r="A127" t="s">
        <v>745</v>
      </c>
      <c r="B127" t="s">
        <v>747</v>
      </c>
      <c r="C127" t="s">
        <v>213</v>
      </c>
      <c r="D127" t="s">
        <v>1294</v>
      </c>
      <c r="E127" t="s">
        <v>230</v>
      </c>
      <c r="F127" t="s">
        <v>1300</v>
      </c>
      <c r="G127" t="s">
        <v>600</v>
      </c>
      <c r="H127" t="s">
        <v>1309</v>
      </c>
      <c r="I127" t="s">
        <v>1310</v>
      </c>
    </row>
    <row r="128" spans="1:9">
      <c r="A128" t="s">
        <v>750</v>
      </c>
      <c r="B128" t="s">
        <v>753</v>
      </c>
      <c r="C128" t="s">
        <v>213</v>
      </c>
      <c r="D128" t="s">
        <v>1295</v>
      </c>
      <c r="E128" t="s">
        <v>1296</v>
      </c>
      <c r="F128" t="s">
        <v>1301</v>
      </c>
      <c r="G128" t="s">
        <v>1302</v>
      </c>
      <c r="H128" t="s">
        <v>1312</v>
      </c>
      <c r="I128" t="s">
        <v>627</v>
      </c>
    </row>
    <row r="129" spans="1:9">
      <c r="A129" t="s">
        <v>781</v>
      </c>
      <c r="B129" t="s">
        <v>783</v>
      </c>
      <c r="C129" t="s">
        <v>213</v>
      </c>
      <c r="D129" t="s">
        <v>1314</v>
      </c>
      <c r="E129" t="s">
        <v>1315</v>
      </c>
      <c r="F129" t="s">
        <v>1344</v>
      </c>
      <c r="G129" t="s">
        <v>732</v>
      </c>
      <c r="H129" t="s">
        <v>1374</v>
      </c>
      <c r="I129" t="s">
        <v>1209</v>
      </c>
    </row>
    <row r="130" spans="1:9">
      <c r="A130" t="s">
        <v>786</v>
      </c>
      <c r="B130" t="s">
        <v>788</v>
      </c>
      <c r="C130" t="s">
        <v>213</v>
      </c>
      <c r="D130" t="s">
        <v>1316</v>
      </c>
      <c r="E130" t="s">
        <v>421</v>
      </c>
      <c r="F130" t="s">
        <v>1345</v>
      </c>
      <c r="G130" t="s">
        <v>801</v>
      </c>
      <c r="H130" t="s">
        <v>1375</v>
      </c>
      <c r="I130" t="s">
        <v>643</v>
      </c>
    </row>
    <row r="131" spans="1:9">
      <c r="A131" t="s">
        <v>792</v>
      </c>
      <c r="B131" t="s">
        <v>794</v>
      </c>
      <c r="C131" t="s">
        <v>213</v>
      </c>
      <c r="D131" t="s">
        <v>1317</v>
      </c>
      <c r="E131" t="s">
        <v>507</v>
      </c>
      <c r="F131" t="s">
        <v>1346</v>
      </c>
      <c r="G131" t="s">
        <v>877</v>
      </c>
      <c r="H131" t="s">
        <v>1376</v>
      </c>
      <c r="I131" t="s">
        <v>1377</v>
      </c>
    </row>
    <row r="132" spans="1:9">
      <c r="A132" t="s">
        <v>798</v>
      </c>
      <c r="B132" t="s">
        <v>800</v>
      </c>
      <c r="C132" t="s">
        <v>213</v>
      </c>
      <c r="D132" t="s">
        <v>1318</v>
      </c>
      <c r="E132" t="s">
        <v>413</v>
      </c>
      <c r="F132" t="s">
        <v>1348</v>
      </c>
      <c r="G132" t="s">
        <v>482</v>
      </c>
      <c r="H132" t="s">
        <v>1378</v>
      </c>
      <c r="I132" t="s">
        <v>658</v>
      </c>
    </row>
    <row r="133" spans="1:9">
      <c r="A133" t="s">
        <v>804</v>
      </c>
      <c r="B133" t="s">
        <v>806</v>
      </c>
      <c r="C133" t="s">
        <v>213</v>
      </c>
      <c r="D133" t="s">
        <v>1320</v>
      </c>
      <c r="E133" t="s">
        <v>791</v>
      </c>
      <c r="F133" t="s">
        <v>1349</v>
      </c>
      <c r="G133" t="s">
        <v>606</v>
      </c>
      <c r="H133" t="s">
        <v>1379</v>
      </c>
      <c r="I133" t="s">
        <v>663</v>
      </c>
    </row>
    <row r="134" spans="1:9">
      <c r="A134" t="s">
        <v>810</v>
      </c>
      <c r="B134" t="s">
        <v>812</v>
      </c>
      <c r="C134" t="s">
        <v>213</v>
      </c>
      <c r="D134" t="s">
        <v>1322</v>
      </c>
      <c r="E134" t="s">
        <v>752</v>
      </c>
      <c r="F134" t="s">
        <v>1350</v>
      </c>
      <c r="G134" t="s">
        <v>1351</v>
      </c>
      <c r="H134" t="s">
        <v>1380</v>
      </c>
      <c r="I134" t="s">
        <v>1381</v>
      </c>
    </row>
    <row r="135" spans="1:9">
      <c r="A135" t="s">
        <v>197</v>
      </c>
      <c r="B135" t="s">
        <v>817</v>
      </c>
      <c r="C135" t="s">
        <v>213</v>
      </c>
      <c r="D135" t="s">
        <v>1323</v>
      </c>
      <c r="E135" t="s">
        <v>1324</v>
      </c>
      <c r="F135" t="s">
        <v>1352</v>
      </c>
      <c r="G135" t="s">
        <v>1353</v>
      </c>
      <c r="H135" t="s">
        <v>1382</v>
      </c>
      <c r="I135" t="s">
        <v>1383</v>
      </c>
    </row>
    <row r="136" spans="1:9">
      <c r="A136" t="s">
        <v>821</v>
      </c>
      <c r="B136" t="s">
        <v>823</v>
      </c>
      <c r="C136" t="s">
        <v>213</v>
      </c>
      <c r="D136" t="s">
        <v>1326</v>
      </c>
      <c r="E136" t="s">
        <v>754</v>
      </c>
      <c r="F136" t="s">
        <v>1354</v>
      </c>
      <c r="G136" t="s">
        <v>1152</v>
      </c>
      <c r="H136" t="s">
        <v>1385</v>
      </c>
      <c r="I136" t="s">
        <v>1386</v>
      </c>
    </row>
    <row r="137" spans="1:9">
      <c r="A137" t="s">
        <v>827</v>
      </c>
      <c r="B137" t="s">
        <v>829</v>
      </c>
      <c r="C137" t="s">
        <v>213</v>
      </c>
      <c r="D137" t="s">
        <v>1327</v>
      </c>
      <c r="E137" t="s">
        <v>1328</v>
      </c>
      <c r="F137" t="s">
        <v>1355</v>
      </c>
      <c r="G137" t="s">
        <v>612</v>
      </c>
      <c r="H137" t="s">
        <v>1387</v>
      </c>
      <c r="I137" t="s">
        <v>700</v>
      </c>
    </row>
    <row r="138" spans="1:9">
      <c r="A138" t="s">
        <v>833</v>
      </c>
      <c r="B138" t="s">
        <v>835</v>
      </c>
      <c r="C138" t="s">
        <v>213</v>
      </c>
      <c r="D138" t="s">
        <v>1329</v>
      </c>
      <c r="E138" t="s">
        <v>599</v>
      </c>
      <c r="F138" t="s">
        <v>1356</v>
      </c>
      <c r="G138" t="s">
        <v>1187</v>
      </c>
      <c r="H138" t="s">
        <v>1388</v>
      </c>
      <c r="I138" t="s">
        <v>290</v>
      </c>
    </row>
    <row r="139" spans="1:9">
      <c r="A139" t="s">
        <v>838</v>
      </c>
      <c r="B139" t="s">
        <v>840</v>
      </c>
      <c r="C139" t="s">
        <v>213</v>
      </c>
      <c r="D139" t="s">
        <v>1330</v>
      </c>
      <c r="E139" t="s">
        <v>1304</v>
      </c>
      <c r="F139" t="s">
        <v>1357</v>
      </c>
      <c r="G139" t="s">
        <v>668</v>
      </c>
      <c r="H139" t="s">
        <v>1389</v>
      </c>
      <c r="I139" t="s">
        <v>1390</v>
      </c>
    </row>
    <row r="140" spans="1:9">
      <c r="A140" t="s">
        <v>844</v>
      </c>
      <c r="B140" t="s">
        <v>846</v>
      </c>
      <c r="C140" t="s">
        <v>213</v>
      </c>
      <c r="D140" t="s">
        <v>1332</v>
      </c>
      <c r="E140" t="s">
        <v>343</v>
      </c>
      <c r="F140" t="s">
        <v>1359</v>
      </c>
      <c r="G140" t="s">
        <v>1360</v>
      </c>
      <c r="H140" t="s">
        <v>1392</v>
      </c>
      <c r="I140" t="s">
        <v>1393</v>
      </c>
    </row>
    <row r="141" spans="1:9">
      <c r="A141" t="s">
        <v>849</v>
      </c>
      <c r="B141" t="s">
        <v>851</v>
      </c>
      <c r="C141" t="s">
        <v>213</v>
      </c>
      <c r="D141" t="s">
        <v>1333</v>
      </c>
      <c r="E141" t="s">
        <v>1334</v>
      </c>
      <c r="F141" t="s">
        <v>1362</v>
      </c>
      <c r="G141" t="s">
        <v>813</v>
      </c>
      <c r="H141" t="s">
        <v>1395</v>
      </c>
      <c r="I141" t="s">
        <v>1046</v>
      </c>
    </row>
    <row r="142" spans="1:9">
      <c r="A142" t="s">
        <v>855</v>
      </c>
      <c r="B142" t="s">
        <v>858</v>
      </c>
      <c r="C142" t="s">
        <v>213</v>
      </c>
      <c r="D142" t="s">
        <v>1335</v>
      </c>
      <c r="E142" t="s">
        <v>1293</v>
      </c>
      <c r="F142" t="s">
        <v>1364</v>
      </c>
      <c r="G142" t="s">
        <v>1365</v>
      </c>
      <c r="H142" t="s">
        <v>1397</v>
      </c>
      <c r="I142" t="s">
        <v>1398</v>
      </c>
    </row>
    <row r="143" spans="1:9">
      <c r="A143" t="s">
        <v>862</v>
      </c>
      <c r="B143" t="s">
        <v>864</v>
      </c>
      <c r="C143" t="s">
        <v>213</v>
      </c>
      <c r="D143" t="s">
        <v>1336</v>
      </c>
      <c r="E143" t="s">
        <v>830</v>
      </c>
      <c r="F143" t="s">
        <v>1367</v>
      </c>
      <c r="G143" t="s">
        <v>1368</v>
      </c>
      <c r="H143" t="s">
        <v>1400</v>
      </c>
      <c r="I143" t="s">
        <v>1401</v>
      </c>
    </row>
    <row r="144" spans="1:9">
      <c r="A144" t="s">
        <v>2065</v>
      </c>
      <c r="B144" t="s">
        <v>869</v>
      </c>
      <c r="C144" t="s">
        <v>213</v>
      </c>
      <c r="D144" t="s">
        <v>1337</v>
      </c>
      <c r="E144" t="s">
        <v>1338</v>
      </c>
      <c r="F144" t="s">
        <v>1370</v>
      </c>
      <c r="G144" t="s">
        <v>1302</v>
      </c>
      <c r="H144" t="s">
        <v>1403</v>
      </c>
      <c r="I144" t="s">
        <v>627</v>
      </c>
    </row>
    <row r="145" spans="1:10">
      <c r="A145" t="s">
        <v>2066</v>
      </c>
      <c r="B145" t="s">
        <v>874</v>
      </c>
      <c r="C145" t="s">
        <v>213</v>
      </c>
      <c r="D145" t="s">
        <v>1339</v>
      </c>
      <c r="E145" t="s">
        <v>1340</v>
      </c>
      <c r="F145" t="s">
        <v>1371</v>
      </c>
      <c r="G145" t="s">
        <v>1372</v>
      </c>
      <c r="H145" t="s">
        <v>1404</v>
      </c>
      <c r="I145" t="s">
        <v>780</v>
      </c>
    </row>
    <row r="146" spans="1:10">
      <c r="A146" t="s">
        <v>2067</v>
      </c>
      <c r="B146" t="s">
        <v>846</v>
      </c>
      <c r="C146" t="s">
        <v>213</v>
      </c>
      <c r="D146" t="s">
        <v>1341</v>
      </c>
      <c r="E146" t="s">
        <v>1342</v>
      </c>
      <c r="F146" t="s">
        <v>1373</v>
      </c>
      <c r="G146" t="s">
        <v>508</v>
      </c>
      <c r="H146" t="s">
        <v>1406</v>
      </c>
      <c r="I146" t="s">
        <v>1311</v>
      </c>
    </row>
    <row r="147" spans="1:10">
      <c r="A147" t="s">
        <v>2068</v>
      </c>
      <c r="B147" t="s">
        <v>883</v>
      </c>
      <c r="C147" t="s">
        <v>213</v>
      </c>
      <c r="D147" t="s">
        <v>1343</v>
      </c>
      <c r="E147" t="s">
        <v>1343</v>
      </c>
      <c r="F147" t="s">
        <v>1343</v>
      </c>
      <c r="G147" t="s">
        <v>1343</v>
      </c>
      <c r="H147" t="s">
        <v>1343</v>
      </c>
      <c r="I147" t="s">
        <v>1343</v>
      </c>
    </row>
    <row r="148" spans="1:10">
      <c r="A148" t="s">
        <v>2069</v>
      </c>
      <c r="B148" t="s">
        <v>889</v>
      </c>
      <c r="C148" t="s">
        <v>213</v>
      </c>
      <c r="D148" t="s">
        <v>1343</v>
      </c>
      <c r="E148" t="s">
        <v>1343</v>
      </c>
      <c r="F148" t="s">
        <v>1343</v>
      </c>
      <c r="G148" t="s">
        <v>1343</v>
      </c>
      <c r="H148" t="s">
        <v>1343</v>
      </c>
      <c r="I148" t="s">
        <v>1343</v>
      </c>
    </row>
    <row r="149" spans="1:10">
      <c r="A149" t="s">
        <v>2070</v>
      </c>
      <c r="B149" t="s">
        <v>893</v>
      </c>
      <c r="C149" t="s">
        <v>213</v>
      </c>
      <c r="D149" t="s">
        <v>1343</v>
      </c>
      <c r="E149" t="s">
        <v>1343</v>
      </c>
      <c r="F149" t="s">
        <v>1343</v>
      </c>
      <c r="G149" t="s">
        <v>1343</v>
      </c>
      <c r="H149" t="s">
        <v>1343</v>
      </c>
      <c r="I149" t="s">
        <v>1343</v>
      </c>
    </row>
    <row r="150" spans="1:10">
      <c r="A150" t="s">
        <v>2071</v>
      </c>
      <c r="B150" t="s">
        <v>897</v>
      </c>
      <c r="C150" t="s">
        <v>213</v>
      </c>
      <c r="D150" t="s">
        <v>1343</v>
      </c>
      <c r="E150" t="s">
        <v>1343</v>
      </c>
      <c r="F150" t="s">
        <v>1343</v>
      </c>
      <c r="G150" t="s">
        <v>1343</v>
      </c>
      <c r="H150" t="s">
        <v>1343</v>
      </c>
      <c r="I150" t="s">
        <v>1343</v>
      </c>
    </row>
    <row r="151" spans="1:10">
      <c r="A151" t="s">
        <v>2072</v>
      </c>
      <c r="B151" t="s">
        <v>889</v>
      </c>
      <c r="C151" t="s">
        <v>213</v>
      </c>
      <c r="D151" t="s">
        <v>1343</v>
      </c>
      <c r="E151" t="s">
        <v>1343</v>
      </c>
      <c r="F151" t="s">
        <v>1343</v>
      </c>
      <c r="G151" t="s">
        <v>1343</v>
      </c>
      <c r="H151" t="s">
        <v>1343</v>
      </c>
      <c r="I151" t="s">
        <v>1343</v>
      </c>
    </row>
    <row r="152" spans="1:10">
      <c r="A152" t="s">
        <v>2073</v>
      </c>
      <c r="B152" t="s">
        <v>897</v>
      </c>
      <c r="C152" t="s">
        <v>213</v>
      </c>
      <c r="D152" t="s">
        <v>1343</v>
      </c>
      <c r="E152" t="s">
        <v>1343</v>
      </c>
      <c r="F152" t="s">
        <v>1343</v>
      </c>
      <c r="G152" t="s">
        <v>1343</v>
      </c>
      <c r="H152" t="s">
        <v>1343</v>
      </c>
      <c r="I152" t="s">
        <v>1343</v>
      </c>
    </row>
    <row r="153" spans="1:10">
      <c r="A153" t="s">
        <v>2074</v>
      </c>
      <c r="B153" t="s">
        <v>903</v>
      </c>
      <c r="C153" t="s">
        <v>213</v>
      </c>
      <c r="D153" t="s">
        <v>1343</v>
      </c>
      <c r="E153" t="s">
        <v>1343</v>
      </c>
      <c r="F153" t="s">
        <v>1343</v>
      </c>
      <c r="G153" t="s">
        <v>1343</v>
      </c>
      <c r="H153" t="s">
        <v>1343</v>
      </c>
      <c r="I153" t="s">
        <v>1343</v>
      </c>
    </row>
    <row r="154" spans="1:10">
      <c r="A154" t="s">
        <v>2075</v>
      </c>
      <c r="B154" t="s">
        <v>908</v>
      </c>
      <c r="C154" t="s">
        <v>213</v>
      </c>
      <c r="D154" t="s">
        <v>1343</v>
      </c>
      <c r="E154" t="s">
        <v>1343</v>
      </c>
      <c r="F154" t="s">
        <v>1343</v>
      </c>
      <c r="G154" t="s">
        <v>1343</v>
      </c>
      <c r="H154" t="s">
        <v>1343</v>
      </c>
      <c r="I154" t="s">
        <v>1343</v>
      </c>
    </row>
    <row r="155" spans="1:10">
      <c r="A155" t="s">
        <v>1408</v>
      </c>
      <c r="B155" t="s">
        <v>1410</v>
      </c>
      <c r="C155" t="s">
        <v>213</v>
      </c>
      <c r="D155" t="s">
        <v>1409</v>
      </c>
      <c r="E155" t="s">
        <v>352</v>
      </c>
      <c r="F155" t="s">
        <v>1724</v>
      </c>
      <c r="G155" t="s">
        <v>234</v>
      </c>
      <c r="H155" t="s">
        <v>1891</v>
      </c>
      <c r="I155" t="s">
        <v>1892</v>
      </c>
      <c r="J155" t="s">
        <v>2088</v>
      </c>
    </row>
    <row r="156" spans="1:10">
      <c r="A156" t="s">
        <v>1412</v>
      </c>
      <c r="B156" t="s">
        <v>1414</v>
      </c>
      <c r="C156" t="s">
        <v>213</v>
      </c>
      <c r="D156" t="s">
        <v>1413</v>
      </c>
      <c r="E156" t="s">
        <v>1064</v>
      </c>
      <c r="F156" t="s">
        <v>1725</v>
      </c>
      <c r="G156" t="s">
        <v>1145</v>
      </c>
      <c r="H156" t="s">
        <v>1894</v>
      </c>
      <c r="I156" t="s">
        <v>1139</v>
      </c>
      <c r="J156" t="s">
        <v>2088</v>
      </c>
    </row>
    <row r="157" spans="1:10">
      <c r="A157" t="s">
        <v>1416</v>
      </c>
      <c r="B157" t="s">
        <v>1418</v>
      </c>
      <c r="C157" t="s">
        <v>213</v>
      </c>
      <c r="D157" t="s">
        <v>1417</v>
      </c>
      <c r="E157" t="s">
        <v>1068</v>
      </c>
      <c r="F157" t="s">
        <v>1727</v>
      </c>
      <c r="G157" t="s">
        <v>1121</v>
      </c>
      <c r="H157" t="s">
        <v>1895</v>
      </c>
      <c r="I157" t="s">
        <v>631</v>
      </c>
      <c r="J157" t="s">
        <v>2088</v>
      </c>
    </row>
    <row r="158" spans="1:10">
      <c r="A158" t="s">
        <v>1420</v>
      </c>
      <c r="B158" t="s">
        <v>1422</v>
      </c>
      <c r="C158" t="s">
        <v>213</v>
      </c>
      <c r="D158" t="s">
        <v>1421</v>
      </c>
      <c r="E158" t="s">
        <v>1049</v>
      </c>
      <c r="F158" t="s">
        <v>1728</v>
      </c>
      <c r="G158" t="s">
        <v>230</v>
      </c>
      <c r="H158" t="s">
        <v>1896</v>
      </c>
      <c r="I158" t="s">
        <v>1288</v>
      </c>
      <c r="J158" t="s">
        <v>2088</v>
      </c>
    </row>
    <row r="159" spans="1:10">
      <c r="A159" t="s">
        <v>1424</v>
      </c>
      <c r="B159" t="s">
        <v>1066</v>
      </c>
      <c r="C159" t="s">
        <v>213</v>
      </c>
      <c r="D159" t="s">
        <v>1425</v>
      </c>
      <c r="E159" t="s">
        <v>1086</v>
      </c>
      <c r="F159" t="s">
        <v>1729</v>
      </c>
      <c r="G159" t="s">
        <v>1137</v>
      </c>
      <c r="H159" t="s">
        <v>1897</v>
      </c>
      <c r="I159" t="s">
        <v>220</v>
      </c>
      <c r="J159" t="s">
        <v>2088</v>
      </c>
    </row>
    <row r="160" spans="1:10">
      <c r="A160" t="s">
        <v>1427</v>
      </c>
      <c r="B160" t="s">
        <v>1066</v>
      </c>
      <c r="C160" t="s">
        <v>213</v>
      </c>
      <c r="D160" t="s">
        <v>1428</v>
      </c>
      <c r="E160" t="s">
        <v>1086</v>
      </c>
      <c r="F160" t="s">
        <v>1731</v>
      </c>
      <c r="G160" t="s">
        <v>1137</v>
      </c>
      <c r="H160" t="s">
        <v>1900</v>
      </c>
      <c r="I160" t="s">
        <v>220</v>
      </c>
      <c r="J160" t="s">
        <v>2088</v>
      </c>
    </row>
    <row r="161" spans="1:10">
      <c r="A161" t="s">
        <v>1429</v>
      </c>
      <c r="B161" t="s">
        <v>1431</v>
      </c>
      <c r="C161" t="s">
        <v>213</v>
      </c>
      <c r="D161" t="s">
        <v>1430</v>
      </c>
      <c r="E161" t="s">
        <v>1086</v>
      </c>
      <c r="F161" t="s">
        <v>1732</v>
      </c>
      <c r="G161" t="s">
        <v>1733</v>
      </c>
      <c r="H161" t="s">
        <v>1901</v>
      </c>
      <c r="I161" t="s">
        <v>1893</v>
      </c>
      <c r="J161" t="s">
        <v>2088</v>
      </c>
    </row>
    <row r="162" spans="1:10">
      <c r="A162" t="s">
        <v>1434</v>
      </c>
      <c r="B162" t="s">
        <v>1431</v>
      </c>
      <c r="C162" t="s">
        <v>213</v>
      </c>
      <c r="D162" t="s">
        <v>1435</v>
      </c>
      <c r="E162" t="s">
        <v>1086</v>
      </c>
      <c r="F162" t="s">
        <v>1734</v>
      </c>
      <c r="G162" t="s">
        <v>1733</v>
      </c>
      <c r="H162" t="s">
        <v>1902</v>
      </c>
      <c r="I162" t="s">
        <v>1893</v>
      </c>
      <c r="J162" t="s">
        <v>2088</v>
      </c>
    </row>
    <row r="163" spans="1:10">
      <c r="A163" t="s">
        <v>1436</v>
      </c>
      <c r="B163" t="s">
        <v>1438</v>
      </c>
      <c r="C163" t="s">
        <v>213</v>
      </c>
      <c r="D163" t="s">
        <v>1437</v>
      </c>
      <c r="E163" t="s">
        <v>352</v>
      </c>
      <c r="F163" t="s">
        <v>1735</v>
      </c>
      <c r="G163" t="s">
        <v>1129</v>
      </c>
      <c r="H163" t="s">
        <v>1903</v>
      </c>
      <c r="I163" t="s">
        <v>1256</v>
      </c>
      <c r="J163" t="s">
        <v>2088</v>
      </c>
    </row>
    <row r="164" spans="1:10">
      <c r="A164" t="s">
        <v>1440</v>
      </c>
      <c r="B164" t="s">
        <v>1160</v>
      </c>
      <c r="C164" t="s">
        <v>213</v>
      </c>
      <c r="D164" t="s">
        <v>1441</v>
      </c>
      <c r="E164" t="s">
        <v>361</v>
      </c>
      <c r="F164" t="s">
        <v>1736</v>
      </c>
      <c r="G164" t="s">
        <v>1737</v>
      </c>
      <c r="H164" t="s">
        <v>1904</v>
      </c>
      <c r="I164" t="s">
        <v>672</v>
      </c>
      <c r="J164" t="s">
        <v>2088</v>
      </c>
    </row>
    <row r="165" spans="1:10">
      <c r="A165" t="s">
        <v>1443</v>
      </c>
      <c r="B165" t="s">
        <v>1445</v>
      </c>
      <c r="C165" t="s">
        <v>213</v>
      </c>
      <c r="D165" t="s">
        <v>1444</v>
      </c>
      <c r="E165" t="s">
        <v>1068</v>
      </c>
      <c r="F165" t="s">
        <v>1738</v>
      </c>
      <c r="G165" t="s">
        <v>214</v>
      </c>
      <c r="H165" t="s">
        <v>1905</v>
      </c>
      <c r="I165" t="s">
        <v>338</v>
      </c>
      <c r="J165" t="s">
        <v>2088</v>
      </c>
    </row>
    <row r="166" spans="1:10">
      <c r="A166" t="s">
        <v>1447</v>
      </c>
      <c r="B166" t="s">
        <v>1449</v>
      </c>
      <c r="C166" t="s">
        <v>213</v>
      </c>
      <c r="D166" t="s">
        <v>1448</v>
      </c>
      <c r="E166" t="s">
        <v>359</v>
      </c>
      <c r="F166" t="s">
        <v>1739</v>
      </c>
      <c r="G166" t="s">
        <v>472</v>
      </c>
      <c r="H166" t="s">
        <v>1906</v>
      </c>
      <c r="I166" t="s">
        <v>631</v>
      </c>
      <c r="J166" t="s">
        <v>2088</v>
      </c>
    </row>
    <row r="167" spans="1:10">
      <c r="A167" t="s">
        <v>1451</v>
      </c>
      <c r="B167" t="s">
        <v>1453</v>
      </c>
      <c r="C167" t="s">
        <v>213</v>
      </c>
      <c r="D167" t="s">
        <v>1452</v>
      </c>
      <c r="E167" t="s">
        <v>1049</v>
      </c>
      <c r="F167" t="s">
        <v>1742</v>
      </c>
      <c r="G167" t="s">
        <v>505</v>
      </c>
      <c r="H167" t="s">
        <v>1908</v>
      </c>
      <c r="I167" t="s">
        <v>1909</v>
      </c>
      <c r="J167" t="s">
        <v>2088</v>
      </c>
    </row>
    <row r="168" spans="1:10">
      <c r="A168" t="s">
        <v>1455</v>
      </c>
      <c r="B168" t="s">
        <v>1458</v>
      </c>
      <c r="C168" t="s">
        <v>213</v>
      </c>
      <c r="D168" t="s">
        <v>1456</v>
      </c>
      <c r="E168" t="s">
        <v>1107</v>
      </c>
      <c r="F168" t="s">
        <v>1743</v>
      </c>
      <c r="G168" t="s">
        <v>1740</v>
      </c>
      <c r="H168" t="s">
        <v>1910</v>
      </c>
      <c r="I168" t="s">
        <v>641</v>
      </c>
      <c r="J168" t="s">
        <v>2088</v>
      </c>
    </row>
    <row r="169" spans="1:10">
      <c r="A169" t="s">
        <v>1460</v>
      </c>
      <c r="B169" t="s">
        <v>1462</v>
      </c>
      <c r="C169" t="s">
        <v>213</v>
      </c>
      <c r="D169" t="s">
        <v>1461</v>
      </c>
      <c r="E169" t="s">
        <v>286</v>
      </c>
      <c r="F169" t="s">
        <v>1744</v>
      </c>
      <c r="G169" t="s">
        <v>1190</v>
      </c>
      <c r="H169" t="s">
        <v>1911</v>
      </c>
      <c r="I169" t="s">
        <v>620</v>
      </c>
      <c r="J169" t="s">
        <v>2088</v>
      </c>
    </row>
    <row r="170" spans="1:10">
      <c r="A170" t="s">
        <v>1464</v>
      </c>
      <c r="B170" t="s">
        <v>1466</v>
      </c>
      <c r="C170" t="s">
        <v>213</v>
      </c>
      <c r="D170" t="s">
        <v>1465</v>
      </c>
      <c r="E170" t="s">
        <v>268</v>
      </c>
      <c r="F170" t="s">
        <v>1745</v>
      </c>
      <c r="G170" t="s">
        <v>1160</v>
      </c>
      <c r="H170" t="s">
        <v>1913</v>
      </c>
      <c r="I170" t="s">
        <v>1305</v>
      </c>
      <c r="J170" t="s">
        <v>2088</v>
      </c>
    </row>
    <row r="171" spans="1:10">
      <c r="A171" t="s">
        <v>1468</v>
      </c>
      <c r="B171" t="s">
        <v>1458</v>
      </c>
      <c r="C171" t="s">
        <v>213</v>
      </c>
      <c r="D171" t="s">
        <v>1469</v>
      </c>
      <c r="E171" t="s">
        <v>1107</v>
      </c>
      <c r="F171" t="s">
        <v>1746</v>
      </c>
      <c r="G171" t="s">
        <v>1740</v>
      </c>
      <c r="H171" t="s">
        <v>1914</v>
      </c>
      <c r="I171" t="s">
        <v>641</v>
      </c>
      <c r="J171" t="s">
        <v>2088</v>
      </c>
    </row>
    <row r="172" spans="1:10">
      <c r="A172" t="s">
        <v>1470</v>
      </c>
      <c r="B172" t="s">
        <v>1449</v>
      </c>
      <c r="C172" t="s">
        <v>213</v>
      </c>
      <c r="D172" t="s">
        <v>1471</v>
      </c>
      <c r="E172" t="s">
        <v>359</v>
      </c>
      <c r="F172" t="s">
        <v>1747</v>
      </c>
      <c r="G172" t="s">
        <v>472</v>
      </c>
      <c r="H172" t="s">
        <v>1915</v>
      </c>
      <c r="I172" t="s">
        <v>631</v>
      </c>
      <c r="J172" t="s">
        <v>2088</v>
      </c>
    </row>
    <row r="173" spans="1:10">
      <c r="A173" t="s">
        <v>1472</v>
      </c>
      <c r="B173" t="s">
        <v>1445</v>
      </c>
      <c r="C173" t="s">
        <v>213</v>
      </c>
      <c r="D173" t="s">
        <v>1473</v>
      </c>
      <c r="E173" t="s">
        <v>1068</v>
      </c>
      <c r="F173" t="s">
        <v>1748</v>
      </c>
      <c r="G173" t="s">
        <v>214</v>
      </c>
      <c r="H173" t="s">
        <v>1916</v>
      </c>
      <c r="I173" t="s">
        <v>338</v>
      </c>
      <c r="J173" t="s">
        <v>2088</v>
      </c>
    </row>
    <row r="174" spans="1:10">
      <c r="A174" t="s">
        <v>1474</v>
      </c>
      <c r="B174" t="s">
        <v>889</v>
      </c>
      <c r="C174" t="s">
        <v>213</v>
      </c>
      <c r="D174" t="s">
        <v>1475</v>
      </c>
      <c r="E174" t="s">
        <v>272</v>
      </c>
      <c r="F174" t="s">
        <v>1749</v>
      </c>
      <c r="G174" t="s">
        <v>1195</v>
      </c>
      <c r="H174" t="s">
        <v>1917</v>
      </c>
      <c r="I174" t="s">
        <v>423</v>
      </c>
      <c r="J174" t="s">
        <v>2088</v>
      </c>
    </row>
    <row r="175" spans="1:10">
      <c r="A175" t="s">
        <v>1476</v>
      </c>
      <c r="B175" t="s">
        <v>1478</v>
      </c>
      <c r="C175" t="s">
        <v>213</v>
      </c>
      <c r="D175" t="s">
        <v>1477</v>
      </c>
      <c r="E175" t="s">
        <v>364</v>
      </c>
      <c r="F175" t="s">
        <v>1750</v>
      </c>
      <c r="G175" t="s">
        <v>484</v>
      </c>
      <c r="H175" t="s">
        <v>1918</v>
      </c>
      <c r="I175" t="s">
        <v>1211</v>
      </c>
      <c r="J175" t="s">
        <v>2088</v>
      </c>
    </row>
    <row r="176" spans="1:10">
      <c r="A176" t="s">
        <v>198</v>
      </c>
      <c r="B176" t="s">
        <v>889</v>
      </c>
      <c r="C176" t="s">
        <v>213</v>
      </c>
      <c r="D176" t="s">
        <v>1480</v>
      </c>
      <c r="E176" t="s">
        <v>272</v>
      </c>
      <c r="F176" t="s">
        <v>1751</v>
      </c>
      <c r="G176" t="s">
        <v>1195</v>
      </c>
      <c r="H176" t="s">
        <v>1920</v>
      </c>
      <c r="I176" t="s">
        <v>423</v>
      </c>
      <c r="J176" t="s">
        <v>2088</v>
      </c>
    </row>
    <row r="177" spans="1:10">
      <c r="A177" t="s">
        <v>1481</v>
      </c>
      <c r="B177" t="s">
        <v>1483</v>
      </c>
      <c r="C177" t="s">
        <v>213</v>
      </c>
      <c r="D177" t="s">
        <v>1482</v>
      </c>
      <c r="E177" t="s">
        <v>246</v>
      </c>
      <c r="F177" t="s">
        <v>1752</v>
      </c>
      <c r="G177" t="s">
        <v>1753</v>
      </c>
      <c r="H177" t="s">
        <v>1921</v>
      </c>
      <c r="I177" t="s">
        <v>1922</v>
      </c>
      <c r="J177" t="s">
        <v>2088</v>
      </c>
    </row>
    <row r="178" spans="1:10">
      <c r="A178" t="s">
        <v>1485</v>
      </c>
      <c r="B178" t="s">
        <v>1487</v>
      </c>
      <c r="C178" t="s">
        <v>213</v>
      </c>
      <c r="D178" t="s">
        <v>1486</v>
      </c>
      <c r="E178" t="s">
        <v>282</v>
      </c>
      <c r="F178" t="s">
        <v>1754</v>
      </c>
      <c r="G178" t="s">
        <v>537</v>
      </c>
      <c r="H178" t="s">
        <v>1923</v>
      </c>
      <c r="I178" t="s">
        <v>727</v>
      </c>
      <c r="J178" t="s">
        <v>2088</v>
      </c>
    </row>
    <row r="179" spans="1:10">
      <c r="A179" t="s">
        <v>1489</v>
      </c>
      <c r="B179" t="s">
        <v>1491</v>
      </c>
      <c r="C179" t="s">
        <v>213</v>
      </c>
      <c r="D179" t="s">
        <v>1490</v>
      </c>
      <c r="E179" t="s">
        <v>380</v>
      </c>
      <c r="F179" t="s">
        <v>1756</v>
      </c>
      <c r="G179" t="s">
        <v>391</v>
      </c>
      <c r="H179" t="s">
        <v>1924</v>
      </c>
      <c r="I179" t="s">
        <v>687</v>
      </c>
      <c r="J179" t="s">
        <v>2088</v>
      </c>
    </row>
    <row r="180" spans="1:10">
      <c r="A180" t="s">
        <v>1493</v>
      </c>
      <c r="B180" t="s">
        <v>1495</v>
      </c>
      <c r="C180" t="s">
        <v>213</v>
      </c>
      <c r="D180" t="s">
        <v>1494</v>
      </c>
      <c r="E180" t="s">
        <v>380</v>
      </c>
      <c r="F180" t="s">
        <v>1759</v>
      </c>
      <c r="G180" t="s">
        <v>391</v>
      </c>
      <c r="H180" t="s">
        <v>1925</v>
      </c>
      <c r="I180" t="s">
        <v>687</v>
      </c>
      <c r="J180" t="s">
        <v>2088</v>
      </c>
    </row>
    <row r="181" spans="1:10">
      <c r="A181" t="s">
        <v>1496</v>
      </c>
      <c r="B181" t="s">
        <v>1498</v>
      </c>
      <c r="C181" t="s">
        <v>213</v>
      </c>
      <c r="D181" t="s">
        <v>1497</v>
      </c>
      <c r="E181" t="s">
        <v>236</v>
      </c>
      <c r="F181" t="s">
        <v>1760</v>
      </c>
      <c r="G181" t="s">
        <v>1761</v>
      </c>
      <c r="H181" t="s">
        <v>1926</v>
      </c>
      <c r="I181" t="s">
        <v>1927</v>
      </c>
      <c r="J181" t="s">
        <v>2088</v>
      </c>
    </row>
    <row r="182" spans="1:10">
      <c r="A182" t="s">
        <v>1500</v>
      </c>
      <c r="B182" t="s">
        <v>1466</v>
      </c>
      <c r="C182" t="s">
        <v>213</v>
      </c>
      <c r="D182" t="s">
        <v>1501</v>
      </c>
      <c r="E182" t="s">
        <v>268</v>
      </c>
      <c r="F182" t="s">
        <v>1762</v>
      </c>
      <c r="G182" t="s">
        <v>1160</v>
      </c>
      <c r="H182" t="s">
        <v>1928</v>
      </c>
      <c r="I182" t="s">
        <v>1305</v>
      </c>
      <c r="J182" t="s">
        <v>2088</v>
      </c>
    </row>
    <row r="183" spans="1:10">
      <c r="A183" t="s">
        <v>1502</v>
      </c>
      <c r="B183" t="s">
        <v>1505</v>
      </c>
      <c r="C183" t="s">
        <v>213</v>
      </c>
      <c r="D183" t="s">
        <v>1503</v>
      </c>
      <c r="E183" t="s">
        <v>1106</v>
      </c>
      <c r="F183" t="s">
        <v>1763</v>
      </c>
      <c r="G183" t="s">
        <v>540</v>
      </c>
      <c r="H183" t="s">
        <v>1929</v>
      </c>
      <c r="I183" t="s">
        <v>1271</v>
      </c>
      <c r="J183" t="s">
        <v>2088</v>
      </c>
    </row>
    <row r="184" spans="1:10">
      <c r="A184" t="s">
        <v>1507</v>
      </c>
      <c r="B184" t="s">
        <v>1445</v>
      </c>
      <c r="C184" t="s">
        <v>213</v>
      </c>
      <c r="D184" t="s">
        <v>1508</v>
      </c>
      <c r="E184" t="s">
        <v>1068</v>
      </c>
      <c r="F184" t="s">
        <v>1764</v>
      </c>
      <c r="G184" t="s">
        <v>214</v>
      </c>
      <c r="H184" t="s">
        <v>1930</v>
      </c>
      <c r="I184" t="s">
        <v>1213</v>
      </c>
      <c r="J184" t="s">
        <v>2088</v>
      </c>
    </row>
    <row r="185" spans="1:10">
      <c r="A185" t="s">
        <v>1510</v>
      </c>
      <c r="B185" t="s">
        <v>1319</v>
      </c>
      <c r="C185" t="s">
        <v>213</v>
      </c>
      <c r="D185" t="s">
        <v>1511</v>
      </c>
      <c r="E185" t="s">
        <v>350</v>
      </c>
      <c r="F185" t="s">
        <v>1765</v>
      </c>
      <c r="G185" t="s">
        <v>1139</v>
      </c>
      <c r="H185" t="s">
        <v>1931</v>
      </c>
      <c r="I185" t="s">
        <v>1288</v>
      </c>
      <c r="J185" t="s">
        <v>2088</v>
      </c>
    </row>
    <row r="186" spans="1:10">
      <c r="A186" t="s">
        <v>1513</v>
      </c>
      <c r="B186" t="s">
        <v>1515</v>
      </c>
      <c r="C186" t="s">
        <v>213</v>
      </c>
      <c r="D186" t="s">
        <v>1514</v>
      </c>
      <c r="E186" t="s">
        <v>1083</v>
      </c>
      <c r="F186" t="s">
        <v>1766</v>
      </c>
      <c r="G186" t="s">
        <v>1741</v>
      </c>
      <c r="H186" t="s">
        <v>1932</v>
      </c>
      <c r="I186" t="s">
        <v>1907</v>
      </c>
      <c r="J186" t="s">
        <v>2088</v>
      </c>
    </row>
    <row r="187" spans="1:10">
      <c r="A187" t="s">
        <v>1517</v>
      </c>
      <c r="B187" t="s">
        <v>1519</v>
      </c>
      <c r="C187" t="s">
        <v>213</v>
      </c>
      <c r="D187" t="s">
        <v>1518</v>
      </c>
      <c r="E187" t="s">
        <v>1084</v>
      </c>
      <c r="F187" t="s">
        <v>1767</v>
      </c>
      <c r="G187" t="s">
        <v>1056</v>
      </c>
      <c r="H187" t="s">
        <v>1934</v>
      </c>
      <c r="I187" t="s">
        <v>246</v>
      </c>
      <c r="J187" t="s">
        <v>2088</v>
      </c>
    </row>
    <row r="188" spans="1:10">
      <c r="A188" t="s">
        <v>1522</v>
      </c>
      <c r="B188" t="s">
        <v>1524</v>
      </c>
      <c r="C188" t="s">
        <v>213</v>
      </c>
      <c r="D188" t="s">
        <v>1523</v>
      </c>
      <c r="E188" t="s">
        <v>1088</v>
      </c>
      <c r="F188" t="s">
        <v>1768</v>
      </c>
      <c r="G188" t="s">
        <v>1769</v>
      </c>
      <c r="H188" t="s">
        <v>1935</v>
      </c>
      <c r="I188" t="s">
        <v>1247</v>
      </c>
      <c r="J188" t="s">
        <v>2088</v>
      </c>
    </row>
    <row r="189" spans="1:10">
      <c r="A189" t="s">
        <v>1526</v>
      </c>
      <c r="B189" t="s">
        <v>1528</v>
      </c>
      <c r="C189" t="s">
        <v>213</v>
      </c>
      <c r="D189" t="s">
        <v>1527</v>
      </c>
      <c r="E189" t="s">
        <v>361</v>
      </c>
      <c r="F189" t="s">
        <v>1771</v>
      </c>
      <c r="G189" t="s">
        <v>334</v>
      </c>
      <c r="H189" t="s">
        <v>1937</v>
      </c>
      <c r="I189" t="s">
        <v>1220</v>
      </c>
      <c r="J189" t="s">
        <v>2088</v>
      </c>
    </row>
    <row r="190" spans="1:10">
      <c r="A190" t="s">
        <v>1530</v>
      </c>
      <c r="B190" t="s">
        <v>1445</v>
      </c>
      <c r="C190" t="s">
        <v>213</v>
      </c>
      <c r="D190" t="s">
        <v>1531</v>
      </c>
      <c r="E190" t="s">
        <v>1068</v>
      </c>
      <c r="F190" t="s">
        <v>1772</v>
      </c>
      <c r="G190" t="s">
        <v>214</v>
      </c>
      <c r="H190" t="s">
        <v>1938</v>
      </c>
      <c r="I190" t="s">
        <v>1213</v>
      </c>
      <c r="J190" t="s">
        <v>2088</v>
      </c>
    </row>
    <row r="191" spans="1:10">
      <c r="A191" t="s">
        <v>1532</v>
      </c>
      <c r="B191" t="s">
        <v>1407</v>
      </c>
      <c r="C191" t="s">
        <v>213</v>
      </c>
      <c r="D191" t="s">
        <v>1533</v>
      </c>
      <c r="E191" t="s">
        <v>357</v>
      </c>
      <c r="F191" t="s">
        <v>1773</v>
      </c>
      <c r="G191" t="s">
        <v>470</v>
      </c>
      <c r="H191" t="s">
        <v>1939</v>
      </c>
      <c r="I191" t="s">
        <v>1111</v>
      </c>
      <c r="J191" t="s">
        <v>2088</v>
      </c>
    </row>
    <row r="192" spans="1:10">
      <c r="A192" t="s">
        <v>1535</v>
      </c>
      <c r="B192" t="s">
        <v>1537</v>
      </c>
      <c r="C192" t="s">
        <v>213</v>
      </c>
      <c r="D192" t="s">
        <v>1536</v>
      </c>
      <c r="E192" t="s">
        <v>352</v>
      </c>
      <c r="F192" t="s">
        <v>1774</v>
      </c>
      <c r="G192" t="s">
        <v>1129</v>
      </c>
      <c r="H192" t="s">
        <v>1940</v>
      </c>
      <c r="I192" t="s">
        <v>1256</v>
      </c>
      <c r="J192" t="s">
        <v>2088</v>
      </c>
    </row>
    <row r="193" spans="1:10">
      <c r="A193" t="s">
        <v>1539</v>
      </c>
      <c r="B193" t="s">
        <v>1524</v>
      </c>
      <c r="C193" t="s">
        <v>213</v>
      </c>
      <c r="D193" t="s">
        <v>1540</v>
      </c>
      <c r="E193" t="s">
        <v>1088</v>
      </c>
      <c r="F193" t="s">
        <v>1775</v>
      </c>
      <c r="G193" t="s">
        <v>1769</v>
      </c>
      <c r="H193" t="s">
        <v>1941</v>
      </c>
      <c r="I193" t="s">
        <v>1247</v>
      </c>
      <c r="J193" t="s">
        <v>2088</v>
      </c>
    </row>
    <row r="194" spans="1:10">
      <c r="A194" t="s">
        <v>1542</v>
      </c>
      <c r="B194" t="s">
        <v>1544</v>
      </c>
      <c r="C194" t="s">
        <v>213</v>
      </c>
      <c r="D194" t="s">
        <v>1543</v>
      </c>
      <c r="E194" t="s">
        <v>354</v>
      </c>
      <c r="F194" t="s">
        <v>1776</v>
      </c>
      <c r="G194" t="s">
        <v>1106</v>
      </c>
      <c r="H194" t="s">
        <v>1942</v>
      </c>
      <c r="I194" t="s">
        <v>676</v>
      </c>
      <c r="J194" t="s">
        <v>2088</v>
      </c>
    </row>
    <row r="195" spans="1:10">
      <c r="A195" t="s">
        <v>1546</v>
      </c>
      <c r="B195" t="s">
        <v>1528</v>
      </c>
      <c r="C195" t="s">
        <v>213</v>
      </c>
      <c r="D195" t="s">
        <v>1547</v>
      </c>
      <c r="E195" t="s">
        <v>361</v>
      </c>
      <c r="F195" t="s">
        <v>1777</v>
      </c>
      <c r="G195" t="s">
        <v>334</v>
      </c>
      <c r="H195" t="s">
        <v>1943</v>
      </c>
      <c r="I195" t="s">
        <v>1220</v>
      </c>
      <c r="J195" t="s">
        <v>2088</v>
      </c>
    </row>
    <row r="196" spans="1:10">
      <c r="A196" t="s">
        <v>1548</v>
      </c>
      <c r="B196" t="s">
        <v>1550</v>
      </c>
      <c r="C196" t="s">
        <v>213</v>
      </c>
      <c r="D196" t="s">
        <v>1549</v>
      </c>
      <c r="E196" t="s">
        <v>367</v>
      </c>
      <c r="F196" t="s">
        <v>1778</v>
      </c>
      <c r="G196" t="s">
        <v>1121</v>
      </c>
      <c r="H196" t="s">
        <v>1944</v>
      </c>
      <c r="I196" t="s">
        <v>1945</v>
      </c>
      <c r="J196" t="s">
        <v>2088</v>
      </c>
    </row>
    <row r="197" spans="1:10">
      <c r="A197" t="s">
        <v>1552</v>
      </c>
      <c r="B197" t="s">
        <v>1550</v>
      </c>
      <c r="C197" t="s">
        <v>213</v>
      </c>
      <c r="D197" t="s">
        <v>1553</v>
      </c>
      <c r="E197" t="s">
        <v>367</v>
      </c>
      <c r="F197" t="s">
        <v>1779</v>
      </c>
      <c r="G197" t="s">
        <v>1121</v>
      </c>
      <c r="H197" t="s">
        <v>1946</v>
      </c>
      <c r="I197" t="s">
        <v>1945</v>
      </c>
      <c r="J197" t="s">
        <v>2088</v>
      </c>
    </row>
    <row r="198" spans="1:10">
      <c r="A198" t="s">
        <v>1554</v>
      </c>
      <c r="B198" t="s">
        <v>1556</v>
      </c>
      <c r="C198" t="s">
        <v>213</v>
      </c>
      <c r="D198" t="s">
        <v>1555</v>
      </c>
      <c r="E198" t="s">
        <v>350</v>
      </c>
      <c r="F198" t="s">
        <v>1780</v>
      </c>
      <c r="G198" t="s">
        <v>230</v>
      </c>
      <c r="H198" t="s">
        <v>1947</v>
      </c>
      <c r="I198" t="s">
        <v>393</v>
      </c>
      <c r="J198" t="s">
        <v>2088</v>
      </c>
    </row>
    <row r="199" spans="1:10">
      <c r="A199" t="s">
        <v>1558</v>
      </c>
      <c r="B199" t="s">
        <v>1560</v>
      </c>
      <c r="C199" t="s">
        <v>213</v>
      </c>
      <c r="D199" t="s">
        <v>1559</v>
      </c>
      <c r="E199" t="s">
        <v>1062</v>
      </c>
      <c r="F199" t="s">
        <v>1781</v>
      </c>
      <c r="G199" t="s">
        <v>1726</v>
      </c>
      <c r="H199" t="s">
        <v>1948</v>
      </c>
      <c r="I199" t="s">
        <v>1949</v>
      </c>
      <c r="J199" t="s">
        <v>2088</v>
      </c>
    </row>
    <row r="200" spans="1:10">
      <c r="A200" t="s">
        <v>1562</v>
      </c>
      <c r="B200" t="s">
        <v>1564</v>
      </c>
      <c r="C200" t="s">
        <v>213</v>
      </c>
      <c r="D200" t="s">
        <v>1563</v>
      </c>
      <c r="E200" t="s">
        <v>258</v>
      </c>
      <c r="F200" t="s">
        <v>1782</v>
      </c>
      <c r="G200" t="s">
        <v>1175</v>
      </c>
      <c r="H200" t="s">
        <v>1950</v>
      </c>
      <c r="I200" t="s">
        <v>426</v>
      </c>
      <c r="J200" t="s">
        <v>2088</v>
      </c>
    </row>
    <row r="201" spans="1:10">
      <c r="A201" t="s">
        <v>1566</v>
      </c>
      <c r="B201" t="s">
        <v>1568</v>
      </c>
      <c r="C201" t="s">
        <v>213</v>
      </c>
      <c r="D201" t="s">
        <v>1567</v>
      </c>
      <c r="E201" t="s">
        <v>361</v>
      </c>
      <c r="F201" t="s">
        <v>1783</v>
      </c>
      <c r="G201" t="s">
        <v>1145</v>
      </c>
      <c r="H201" t="s">
        <v>1951</v>
      </c>
      <c r="I201" t="s">
        <v>1952</v>
      </c>
      <c r="J201" t="s">
        <v>2088</v>
      </c>
    </row>
    <row r="202" spans="1:10">
      <c r="A202" t="s">
        <v>1570</v>
      </c>
      <c r="B202" t="s">
        <v>1568</v>
      </c>
      <c r="C202" t="s">
        <v>213</v>
      </c>
      <c r="D202" t="s">
        <v>1571</v>
      </c>
      <c r="E202" t="s">
        <v>361</v>
      </c>
      <c r="F202" t="s">
        <v>1784</v>
      </c>
      <c r="G202" t="s">
        <v>1145</v>
      </c>
      <c r="H202" t="s">
        <v>1953</v>
      </c>
      <c r="I202" t="s">
        <v>1952</v>
      </c>
      <c r="J202" t="s">
        <v>2088</v>
      </c>
    </row>
    <row r="203" spans="1:10">
      <c r="A203" t="s">
        <v>1572</v>
      </c>
      <c r="B203" t="s">
        <v>1574</v>
      </c>
      <c r="C203" t="s">
        <v>213</v>
      </c>
      <c r="D203" t="s">
        <v>1573</v>
      </c>
      <c r="E203" t="s">
        <v>1068</v>
      </c>
      <c r="F203" t="s">
        <v>1785</v>
      </c>
      <c r="G203" t="s">
        <v>230</v>
      </c>
      <c r="H203" t="s">
        <v>1954</v>
      </c>
      <c r="I203" t="s">
        <v>393</v>
      </c>
      <c r="J203" t="s">
        <v>2088</v>
      </c>
    </row>
    <row r="204" spans="1:10">
      <c r="A204" t="s">
        <v>1576</v>
      </c>
      <c r="B204" t="s">
        <v>1574</v>
      </c>
      <c r="C204" t="s">
        <v>213</v>
      </c>
      <c r="D204" t="s">
        <v>1577</v>
      </c>
      <c r="E204" t="s">
        <v>1068</v>
      </c>
      <c r="F204" t="s">
        <v>1786</v>
      </c>
      <c r="G204" t="s">
        <v>230</v>
      </c>
      <c r="H204" t="s">
        <v>1956</v>
      </c>
      <c r="I204" t="s">
        <v>393</v>
      </c>
      <c r="J204" t="s">
        <v>2088</v>
      </c>
    </row>
    <row r="205" spans="1:10">
      <c r="A205" t="s">
        <v>1578</v>
      </c>
      <c r="B205" t="s">
        <v>1580</v>
      </c>
      <c r="C205" t="s">
        <v>213</v>
      </c>
      <c r="D205" t="s">
        <v>1579</v>
      </c>
      <c r="E205" t="s">
        <v>260</v>
      </c>
      <c r="F205" t="s">
        <v>1787</v>
      </c>
      <c r="G205" t="s">
        <v>1193</v>
      </c>
      <c r="H205" t="s">
        <v>1957</v>
      </c>
      <c r="I205" t="s">
        <v>415</v>
      </c>
      <c r="J205" t="s">
        <v>2088</v>
      </c>
    </row>
    <row r="206" spans="1:10">
      <c r="A206" t="s">
        <v>1582</v>
      </c>
      <c r="B206" t="s">
        <v>1584</v>
      </c>
      <c r="C206" t="s">
        <v>213</v>
      </c>
      <c r="D206" t="s">
        <v>1583</v>
      </c>
      <c r="E206" t="s">
        <v>1107</v>
      </c>
      <c r="F206" t="s">
        <v>1788</v>
      </c>
      <c r="G206" t="s">
        <v>554</v>
      </c>
      <c r="H206" t="s">
        <v>1958</v>
      </c>
      <c r="I206" t="s">
        <v>675</v>
      </c>
      <c r="J206" t="s">
        <v>2088</v>
      </c>
    </row>
    <row r="207" spans="1:10">
      <c r="A207" t="s">
        <v>1586</v>
      </c>
      <c r="B207" t="s">
        <v>1588</v>
      </c>
      <c r="C207" t="s">
        <v>213</v>
      </c>
      <c r="D207" t="s">
        <v>1587</v>
      </c>
      <c r="E207" t="s">
        <v>1060</v>
      </c>
      <c r="F207" t="s">
        <v>1789</v>
      </c>
      <c r="G207" t="s">
        <v>1136</v>
      </c>
      <c r="H207" t="s">
        <v>1959</v>
      </c>
      <c r="I207" t="s">
        <v>1898</v>
      </c>
      <c r="J207" t="s">
        <v>2088</v>
      </c>
    </row>
    <row r="208" spans="1:10">
      <c r="A208" t="s">
        <v>1590</v>
      </c>
      <c r="B208" t="s">
        <v>1592</v>
      </c>
      <c r="C208" t="s">
        <v>213</v>
      </c>
      <c r="D208" t="s">
        <v>1591</v>
      </c>
      <c r="E208" t="s">
        <v>359</v>
      </c>
      <c r="F208" t="s">
        <v>1790</v>
      </c>
      <c r="G208" t="s">
        <v>1207</v>
      </c>
      <c r="H208" t="s">
        <v>1961</v>
      </c>
      <c r="I208" t="s">
        <v>1919</v>
      </c>
      <c r="J208" t="s">
        <v>2088</v>
      </c>
    </row>
    <row r="209" spans="1:10">
      <c r="A209" t="s">
        <v>1594</v>
      </c>
      <c r="B209" t="s">
        <v>690</v>
      </c>
      <c r="C209" t="s">
        <v>213</v>
      </c>
      <c r="D209" t="s">
        <v>1595</v>
      </c>
      <c r="E209" t="s">
        <v>359</v>
      </c>
      <c r="F209" t="s">
        <v>1792</v>
      </c>
      <c r="G209" t="s">
        <v>1793</v>
      </c>
      <c r="H209" t="s">
        <v>1962</v>
      </c>
      <c r="I209" t="s">
        <v>1197</v>
      </c>
      <c r="J209" t="s">
        <v>2088</v>
      </c>
    </row>
    <row r="210" spans="1:10">
      <c r="A210" t="s">
        <v>1597</v>
      </c>
      <c r="B210" t="s">
        <v>1599</v>
      </c>
      <c r="C210" t="s">
        <v>213</v>
      </c>
      <c r="D210" t="s">
        <v>1598</v>
      </c>
      <c r="E210" t="s">
        <v>357</v>
      </c>
      <c r="F210" t="s">
        <v>1794</v>
      </c>
      <c r="G210" t="s">
        <v>556</v>
      </c>
      <c r="H210" t="s">
        <v>1963</v>
      </c>
      <c r="I210" t="s">
        <v>683</v>
      </c>
      <c r="J210" t="s">
        <v>2088</v>
      </c>
    </row>
    <row r="211" spans="1:10">
      <c r="A211" t="s">
        <v>1601</v>
      </c>
      <c r="B211" t="s">
        <v>889</v>
      </c>
      <c r="C211" t="s">
        <v>213</v>
      </c>
      <c r="D211" t="s">
        <v>1602</v>
      </c>
      <c r="E211" t="s">
        <v>272</v>
      </c>
      <c r="F211" t="s">
        <v>1795</v>
      </c>
      <c r="G211" t="s">
        <v>502</v>
      </c>
      <c r="H211" t="s">
        <v>1964</v>
      </c>
      <c r="I211" t="s">
        <v>1258</v>
      </c>
      <c r="J211" t="s">
        <v>2088</v>
      </c>
    </row>
    <row r="212" spans="1:10">
      <c r="A212" t="s">
        <v>1604</v>
      </c>
      <c r="B212" t="s">
        <v>1606</v>
      </c>
      <c r="C212" t="s">
        <v>213</v>
      </c>
      <c r="D212" t="s">
        <v>1605</v>
      </c>
      <c r="E212" t="s">
        <v>224</v>
      </c>
      <c r="F212" t="s">
        <v>1796</v>
      </c>
      <c r="G212" t="s">
        <v>497</v>
      </c>
      <c r="H212" t="s">
        <v>1965</v>
      </c>
      <c r="I212" t="s">
        <v>559</v>
      </c>
      <c r="J212" t="s">
        <v>2088</v>
      </c>
    </row>
    <row r="213" spans="1:10">
      <c r="A213" t="s">
        <v>1608</v>
      </c>
      <c r="B213" t="s">
        <v>1609</v>
      </c>
      <c r="C213" t="s">
        <v>213</v>
      </c>
      <c r="D213" t="s">
        <v>1610</v>
      </c>
      <c r="E213" t="s">
        <v>1058</v>
      </c>
      <c r="F213" t="s">
        <v>1797</v>
      </c>
      <c r="G213" t="s">
        <v>1199</v>
      </c>
      <c r="H213" t="s">
        <v>1966</v>
      </c>
      <c r="I213" t="s">
        <v>1245</v>
      </c>
      <c r="J213" t="s">
        <v>2088</v>
      </c>
    </row>
    <row r="214" spans="1:10">
      <c r="A214" t="s">
        <v>1612</v>
      </c>
      <c r="B214" t="s">
        <v>1613</v>
      </c>
      <c r="C214" t="s">
        <v>213</v>
      </c>
      <c r="D214" t="s">
        <v>1614</v>
      </c>
      <c r="E214" t="s">
        <v>1104</v>
      </c>
      <c r="F214" t="s">
        <v>1799</v>
      </c>
      <c r="G214" t="s">
        <v>526</v>
      </c>
      <c r="H214" t="s">
        <v>1968</v>
      </c>
      <c r="I214" t="s">
        <v>1969</v>
      </c>
      <c r="J214" t="s">
        <v>2088</v>
      </c>
    </row>
    <row r="215" spans="1:10">
      <c r="A215" t="s">
        <v>1616</v>
      </c>
      <c r="B215" t="s">
        <v>1617</v>
      </c>
      <c r="C215" t="s">
        <v>213</v>
      </c>
      <c r="D215" t="s">
        <v>1618</v>
      </c>
      <c r="E215" t="s">
        <v>1106</v>
      </c>
      <c r="F215" t="s">
        <v>1801</v>
      </c>
      <c r="G215" t="s">
        <v>512</v>
      </c>
      <c r="H215" t="s">
        <v>1970</v>
      </c>
      <c r="I215" t="s">
        <v>1922</v>
      </c>
      <c r="J215" t="s">
        <v>2088</v>
      </c>
    </row>
    <row r="216" spans="1:10">
      <c r="A216" t="s">
        <v>1620</v>
      </c>
      <c r="B216" t="s">
        <v>1621</v>
      </c>
      <c r="C216" t="s">
        <v>213</v>
      </c>
      <c r="D216" t="s">
        <v>1622</v>
      </c>
      <c r="E216" t="s">
        <v>296</v>
      </c>
      <c r="F216" t="s">
        <v>1802</v>
      </c>
      <c r="G216" t="s">
        <v>1159</v>
      </c>
      <c r="H216" t="s">
        <v>1971</v>
      </c>
      <c r="I216" t="s">
        <v>1972</v>
      </c>
      <c r="J216" t="s">
        <v>2088</v>
      </c>
    </row>
    <row r="217" spans="1:10">
      <c r="A217" t="s">
        <v>1624</v>
      </c>
      <c r="B217" t="s">
        <v>1625</v>
      </c>
      <c r="C217" t="s">
        <v>213</v>
      </c>
      <c r="D217" t="s">
        <v>1626</v>
      </c>
      <c r="E217" t="s">
        <v>1627</v>
      </c>
      <c r="F217" t="s">
        <v>1804</v>
      </c>
      <c r="G217" t="s">
        <v>1393</v>
      </c>
      <c r="H217" t="s">
        <v>1973</v>
      </c>
      <c r="I217" t="s">
        <v>1974</v>
      </c>
      <c r="J217" t="s">
        <v>2088</v>
      </c>
    </row>
    <row r="218" spans="1:10">
      <c r="A218" t="s">
        <v>1629</v>
      </c>
      <c r="B218" t="s">
        <v>269</v>
      </c>
      <c r="C218" t="s">
        <v>213</v>
      </c>
      <c r="D218" t="s">
        <v>1630</v>
      </c>
      <c r="E218" t="s">
        <v>1079</v>
      </c>
      <c r="F218" t="s">
        <v>1806</v>
      </c>
      <c r="G218" t="s">
        <v>540</v>
      </c>
      <c r="H218" t="s">
        <v>1975</v>
      </c>
      <c r="I218" t="s">
        <v>619</v>
      </c>
      <c r="J218" t="s">
        <v>2088</v>
      </c>
    </row>
    <row r="219" spans="1:10">
      <c r="A219" t="s">
        <v>1631</v>
      </c>
      <c r="B219" t="s">
        <v>1632</v>
      </c>
      <c r="C219" t="s">
        <v>213</v>
      </c>
      <c r="D219" t="s">
        <v>1633</v>
      </c>
      <c r="E219" t="s">
        <v>304</v>
      </c>
      <c r="F219" t="s">
        <v>1807</v>
      </c>
      <c r="G219" t="s">
        <v>1808</v>
      </c>
      <c r="H219" t="s">
        <v>1976</v>
      </c>
      <c r="I219" t="s">
        <v>1564</v>
      </c>
      <c r="J219" t="s">
        <v>2088</v>
      </c>
    </row>
    <row r="220" spans="1:10">
      <c r="A220" t="s">
        <v>1635</v>
      </c>
      <c r="B220" t="s">
        <v>1636</v>
      </c>
      <c r="C220" t="s">
        <v>213</v>
      </c>
      <c r="D220" t="s">
        <v>1637</v>
      </c>
      <c r="E220" t="s">
        <v>317</v>
      </c>
      <c r="F220" t="s">
        <v>1809</v>
      </c>
      <c r="G220" t="s">
        <v>1810</v>
      </c>
      <c r="H220" t="s">
        <v>1977</v>
      </c>
      <c r="I220" t="s">
        <v>612</v>
      </c>
      <c r="J220" t="s">
        <v>2088</v>
      </c>
    </row>
    <row r="221" spans="1:10">
      <c r="A221" t="s">
        <v>115</v>
      </c>
      <c r="B221" t="s">
        <v>1639</v>
      </c>
      <c r="C221" t="s">
        <v>213</v>
      </c>
      <c r="D221" t="s">
        <v>1640</v>
      </c>
      <c r="E221" t="s">
        <v>1641</v>
      </c>
      <c r="F221" t="s">
        <v>1811</v>
      </c>
      <c r="G221" t="s">
        <v>1812</v>
      </c>
      <c r="H221" t="s">
        <v>1978</v>
      </c>
      <c r="I221" t="s">
        <v>592</v>
      </c>
      <c r="J221" t="s">
        <v>2088</v>
      </c>
    </row>
    <row r="222" spans="1:10">
      <c r="A222" t="s">
        <v>1644</v>
      </c>
      <c r="B222" t="s">
        <v>1645</v>
      </c>
      <c r="C222" t="s">
        <v>213</v>
      </c>
      <c r="D222" t="s">
        <v>1646</v>
      </c>
      <c r="E222" t="s">
        <v>1293</v>
      </c>
      <c r="F222" t="s">
        <v>1813</v>
      </c>
      <c r="G222" t="s">
        <v>726</v>
      </c>
      <c r="H222" t="s">
        <v>1980</v>
      </c>
      <c r="I222" t="s">
        <v>1233</v>
      </c>
      <c r="J222" t="s">
        <v>2088</v>
      </c>
    </row>
    <row r="223" spans="1:10">
      <c r="A223" t="s">
        <v>1648</v>
      </c>
      <c r="B223" t="s">
        <v>1649</v>
      </c>
      <c r="C223" t="s">
        <v>213</v>
      </c>
      <c r="D223" t="s">
        <v>1650</v>
      </c>
      <c r="E223" t="s">
        <v>1051</v>
      </c>
      <c r="F223" t="s">
        <v>1814</v>
      </c>
      <c r="G223" t="s">
        <v>1311</v>
      </c>
      <c r="H223" t="s">
        <v>1981</v>
      </c>
      <c r="I223" t="s">
        <v>1305</v>
      </c>
      <c r="J223" t="s">
        <v>2088</v>
      </c>
    </row>
    <row r="224" spans="1:10">
      <c r="A224" t="s">
        <v>1408</v>
      </c>
      <c r="B224" t="s">
        <v>1410</v>
      </c>
      <c r="C224" t="s">
        <v>213</v>
      </c>
      <c r="D224" t="s">
        <v>1652</v>
      </c>
      <c r="E224" t="s">
        <v>1083</v>
      </c>
      <c r="F224" t="s">
        <v>1815</v>
      </c>
      <c r="G224" t="s">
        <v>264</v>
      </c>
      <c r="H224" t="s">
        <v>1982</v>
      </c>
      <c r="I224" t="s">
        <v>1248</v>
      </c>
      <c r="J224" t="s">
        <v>2088</v>
      </c>
    </row>
    <row r="225" spans="1:10">
      <c r="A225" t="s">
        <v>1412</v>
      </c>
      <c r="B225" t="s">
        <v>1414</v>
      </c>
      <c r="C225" t="s">
        <v>213</v>
      </c>
      <c r="D225" t="s">
        <v>1653</v>
      </c>
      <c r="E225" t="s">
        <v>1060</v>
      </c>
      <c r="F225" t="s">
        <v>1816</v>
      </c>
      <c r="G225" t="s">
        <v>224</v>
      </c>
      <c r="H225" t="s">
        <v>1983</v>
      </c>
      <c r="I225" t="s">
        <v>1933</v>
      </c>
      <c r="J225" t="s">
        <v>2088</v>
      </c>
    </row>
    <row r="226" spans="1:10">
      <c r="A226" t="s">
        <v>1416</v>
      </c>
      <c r="B226" t="s">
        <v>1418</v>
      </c>
      <c r="C226" t="s">
        <v>213</v>
      </c>
      <c r="D226" t="s">
        <v>1654</v>
      </c>
      <c r="E226" t="s">
        <v>361</v>
      </c>
      <c r="F226" t="s">
        <v>1817</v>
      </c>
      <c r="G226" t="s">
        <v>1173</v>
      </c>
      <c r="H226" t="s">
        <v>1984</v>
      </c>
      <c r="I226" t="s">
        <v>220</v>
      </c>
      <c r="J226" t="s">
        <v>2088</v>
      </c>
    </row>
    <row r="227" spans="1:10">
      <c r="A227" t="s">
        <v>1420</v>
      </c>
      <c r="B227" t="s">
        <v>1422</v>
      </c>
      <c r="C227" t="s">
        <v>213</v>
      </c>
      <c r="D227" t="s">
        <v>1655</v>
      </c>
      <c r="E227" t="s">
        <v>1064</v>
      </c>
      <c r="F227" t="s">
        <v>1818</v>
      </c>
      <c r="G227" t="s">
        <v>1733</v>
      </c>
      <c r="H227" t="s">
        <v>1985</v>
      </c>
      <c r="I227" t="s">
        <v>1247</v>
      </c>
      <c r="J227" t="s">
        <v>2088</v>
      </c>
    </row>
    <row r="228" spans="1:10">
      <c r="A228" t="s">
        <v>1424</v>
      </c>
      <c r="B228" t="s">
        <v>1066</v>
      </c>
      <c r="C228" t="s">
        <v>213</v>
      </c>
      <c r="D228" t="s">
        <v>1656</v>
      </c>
      <c r="E228" t="s">
        <v>1084</v>
      </c>
      <c r="F228" t="s">
        <v>1819</v>
      </c>
      <c r="G228" t="s">
        <v>1163</v>
      </c>
      <c r="H228" t="s">
        <v>1986</v>
      </c>
      <c r="I228" t="s">
        <v>1987</v>
      </c>
      <c r="J228" t="s">
        <v>2088</v>
      </c>
    </row>
    <row r="229" spans="1:10">
      <c r="A229" t="s">
        <v>1427</v>
      </c>
      <c r="B229" t="s">
        <v>1066</v>
      </c>
      <c r="C229" t="s">
        <v>213</v>
      </c>
      <c r="D229" t="s">
        <v>1658</v>
      </c>
      <c r="E229" t="s">
        <v>1084</v>
      </c>
      <c r="F229" t="s">
        <v>1821</v>
      </c>
      <c r="G229" t="s">
        <v>1163</v>
      </c>
      <c r="H229" t="s">
        <v>1988</v>
      </c>
      <c r="I229" t="s">
        <v>1987</v>
      </c>
      <c r="J229" t="s">
        <v>2088</v>
      </c>
    </row>
    <row r="230" spans="1:10">
      <c r="A230" t="s">
        <v>1429</v>
      </c>
      <c r="B230" t="s">
        <v>1431</v>
      </c>
      <c r="C230" t="s">
        <v>213</v>
      </c>
      <c r="D230" t="s">
        <v>1659</v>
      </c>
      <c r="E230" t="s">
        <v>1084</v>
      </c>
      <c r="F230" t="s">
        <v>1822</v>
      </c>
      <c r="G230" t="s">
        <v>1823</v>
      </c>
      <c r="H230" t="s">
        <v>1989</v>
      </c>
      <c r="I230" t="s">
        <v>364</v>
      </c>
      <c r="J230" t="s">
        <v>2088</v>
      </c>
    </row>
    <row r="231" spans="1:10">
      <c r="A231" t="s">
        <v>1434</v>
      </c>
      <c r="B231" t="s">
        <v>1431</v>
      </c>
      <c r="C231" t="s">
        <v>213</v>
      </c>
      <c r="D231" t="s">
        <v>1660</v>
      </c>
      <c r="E231" t="s">
        <v>1084</v>
      </c>
      <c r="F231" t="s">
        <v>1824</v>
      </c>
      <c r="G231" t="s">
        <v>1823</v>
      </c>
      <c r="H231" t="s">
        <v>1990</v>
      </c>
      <c r="I231" t="s">
        <v>364</v>
      </c>
      <c r="J231" t="s">
        <v>2088</v>
      </c>
    </row>
    <row r="232" spans="1:10">
      <c r="A232" t="s">
        <v>1436</v>
      </c>
      <c r="B232" t="s">
        <v>1438</v>
      </c>
      <c r="C232" t="s">
        <v>213</v>
      </c>
      <c r="D232" t="s">
        <v>1661</v>
      </c>
      <c r="E232" t="s">
        <v>1083</v>
      </c>
      <c r="F232" t="s">
        <v>1825</v>
      </c>
      <c r="G232" t="s">
        <v>1730</v>
      </c>
      <c r="H232" t="s">
        <v>1991</v>
      </c>
      <c r="I232" t="s">
        <v>1936</v>
      </c>
      <c r="J232" t="s">
        <v>2088</v>
      </c>
    </row>
    <row r="233" spans="1:10">
      <c r="A233" t="s">
        <v>1440</v>
      </c>
      <c r="B233" t="s">
        <v>1160</v>
      </c>
      <c r="C233" t="s">
        <v>213</v>
      </c>
      <c r="D233" t="s">
        <v>1662</v>
      </c>
      <c r="E233" t="s">
        <v>1083</v>
      </c>
      <c r="F233" t="s">
        <v>1826</v>
      </c>
      <c r="G233" t="s">
        <v>1770</v>
      </c>
      <c r="H233" t="s">
        <v>1992</v>
      </c>
      <c r="I233" t="s">
        <v>435</v>
      </c>
      <c r="J233" t="s">
        <v>2088</v>
      </c>
    </row>
    <row r="234" spans="1:10">
      <c r="A234" t="s">
        <v>1443</v>
      </c>
      <c r="B234" t="s">
        <v>1445</v>
      </c>
      <c r="C234" t="s">
        <v>213</v>
      </c>
      <c r="D234" t="s">
        <v>1663</v>
      </c>
      <c r="E234" t="s">
        <v>361</v>
      </c>
      <c r="F234" t="s">
        <v>1827</v>
      </c>
      <c r="G234" t="s">
        <v>1173</v>
      </c>
      <c r="H234" t="s">
        <v>1993</v>
      </c>
      <c r="I234" t="s">
        <v>220</v>
      </c>
      <c r="J234" t="s">
        <v>2088</v>
      </c>
    </row>
    <row r="235" spans="1:10">
      <c r="A235" t="s">
        <v>1447</v>
      </c>
      <c r="B235" t="s">
        <v>1449</v>
      </c>
      <c r="C235" t="s">
        <v>213</v>
      </c>
      <c r="D235" t="s">
        <v>1664</v>
      </c>
      <c r="E235" t="s">
        <v>352</v>
      </c>
      <c r="F235" t="s">
        <v>1828</v>
      </c>
      <c r="G235" t="s">
        <v>1165</v>
      </c>
      <c r="H235" t="s">
        <v>1994</v>
      </c>
      <c r="I235" t="s">
        <v>1250</v>
      </c>
      <c r="J235" t="s">
        <v>2088</v>
      </c>
    </row>
    <row r="236" spans="1:10">
      <c r="A236" t="s">
        <v>1451</v>
      </c>
      <c r="B236" t="s">
        <v>1453</v>
      </c>
      <c r="C236" t="s">
        <v>213</v>
      </c>
      <c r="D236" t="s">
        <v>1665</v>
      </c>
      <c r="E236" t="s">
        <v>1064</v>
      </c>
      <c r="F236" t="s">
        <v>1829</v>
      </c>
      <c r="G236" t="s">
        <v>1733</v>
      </c>
      <c r="H236" t="s">
        <v>1995</v>
      </c>
      <c r="I236" t="s">
        <v>1247</v>
      </c>
      <c r="J236" t="s">
        <v>2088</v>
      </c>
    </row>
    <row r="237" spans="1:10">
      <c r="A237" t="s">
        <v>1455</v>
      </c>
      <c r="B237" t="s">
        <v>1458</v>
      </c>
      <c r="C237" t="s">
        <v>213</v>
      </c>
      <c r="D237" t="s">
        <v>1666</v>
      </c>
      <c r="E237" t="s">
        <v>1049</v>
      </c>
      <c r="F237" t="s">
        <v>1830</v>
      </c>
      <c r="G237" t="s">
        <v>1134</v>
      </c>
      <c r="H237" t="s">
        <v>1996</v>
      </c>
      <c r="I237" t="s">
        <v>676</v>
      </c>
      <c r="J237" t="s">
        <v>2088</v>
      </c>
    </row>
    <row r="238" spans="1:10">
      <c r="A238" t="s">
        <v>1460</v>
      </c>
      <c r="B238" t="s">
        <v>1462</v>
      </c>
      <c r="C238" t="s">
        <v>213</v>
      </c>
      <c r="D238" t="s">
        <v>1667</v>
      </c>
      <c r="E238" t="s">
        <v>1107</v>
      </c>
      <c r="F238" t="s">
        <v>1832</v>
      </c>
      <c r="G238" t="s">
        <v>552</v>
      </c>
      <c r="H238" t="s">
        <v>1997</v>
      </c>
      <c r="I238" t="s">
        <v>1952</v>
      </c>
      <c r="J238" t="s">
        <v>2088</v>
      </c>
    </row>
    <row r="239" spans="1:10">
      <c r="A239" t="s">
        <v>1464</v>
      </c>
      <c r="B239" t="s">
        <v>1466</v>
      </c>
      <c r="C239" t="s">
        <v>213</v>
      </c>
      <c r="D239" t="s">
        <v>1668</v>
      </c>
      <c r="E239" t="s">
        <v>1118</v>
      </c>
      <c r="F239" t="s">
        <v>1833</v>
      </c>
      <c r="G239" t="s">
        <v>1207</v>
      </c>
      <c r="H239" t="s">
        <v>1998</v>
      </c>
      <c r="I239" t="s">
        <v>1288</v>
      </c>
      <c r="J239" t="s">
        <v>2088</v>
      </c>
    </row>
    <row r="240" spans="1:10">
      <c r="A240" t="s">
        <v>1468</v>
      </c>
      <c r="B240" t="s">
        <v>1458</v>
      </c>
      <c r="C240" t="s">
        <v>213</v>
      </c>
      <c r="D240" t="s">
        <v>1669</v>
      </c>
      <c r="E240" t="s">
        <v>1049</v>
      </c>
      <c r="F240" t="s">
        <v>1834</v>
      </c>
      <c r="G240" t="s">
        <v>1134</v>
      </c>
      <c r="H240" t="s">
        <v>1999</v>
      </c>
      <c r="I240" t="s">
        <v>676</v>
      </c>
      <c r="J240" t="s">
        <v>2088</v>
      </c>
    </row>
    <row r="241" spans="1:10">
      <c r="A241" t="s">
        <v>1470</v>
      </c>
      <c r="B241" t="s">
        <v>1449</v>
      </c>
      <c r="C241" t="s">
        <v>213</v>
      </c>
      <c r="D241" t="s">
        <v>1670</v>
      </c>
      <c r="E241" t="s">
        <v>352</v>
      </c>
      <c r="F241" t="s">
        <v>1835</v>
      </c>
      <c r="G241" t="s">
        <v>1165</v>
      </c>
      <c r="H241" t="s">
        <v>2000</v>
      </c>
      <c r="I241" t="s">
        <v>1250</v>
      </c>
      <c r="J241" t="s">
        <v>2088</v>
      </c>
    </row>
    <row r="242" spans="1:10">
      <c r="A242" t="s">
        <v>1472</v>
      </c>
      <c r="B242" t="s">
        <v>1445</v>
      </c>
      <c r="C242" t="s">
        <v>213</v>
      </c>
      <c r="D242" t="s">
        <v>1671</v>
      </c>
      <c r="E242" t="s">
        <v>361</v>
      </c>
      <c r="F242" t="s">
        <v>1836</v>
      </c>
      <c r="G242" t="s">
        <v>1173</v>
      </c>
      <c r="H242" t="s">
        <v>2001</v>
      </c>
      <c r="I242" t="s">
        <v>220</v>
      </c>
      <c r="J242" t="s">
        <v>2088</v>
      </c>
    </row>
    <row r="243" spans="1:10">
      <c r="A243" t="s">
        <v>1474</v>
      </c>
      <c r="B243" t="s">
        <v>889</v>
      </c>
      <c r="C243" t="s">
        <v>213</v>
      </c>
      <c r="D243" t="s">
        <v>1672</v>
      </c>
      <c r="E243" t="s">
        <v>1049</v>
      </c>
      <c r="F243" t="s">
        <v>1837</v>
      </c>
      <c r="G243" t="s">
        <v>1741</v>
      </c>
      <c r="H243" t="s">
        <v>2002</v>
      </c>
      <c r="I243" t="s">
        <v>1898</v>
      </c>
      <c r="J243" t="s">
        <v>2088</v>
      </c>
    </row>
    <row r="244" spans="1:10">
      <c r="A244" t="s">
        <v>1476</v>
      </c>
      <c r="B244" t="s">
        <v>1478</v>
      </c>
      <c r="C244" t="s">
        <v>213</v>
      </c>
      <c r="D244" t="s">
        <v>1673</v>
      </c>
      <c r="E244" t="s">
        <v>260</v>
      </c>
      <c r="F244" t="s">
        <v>1838</v>
      </c>
      <c r="G244" t="s">
        <v>1106</v>
      </c>
      <c r="H244" t="s">
        <v>2003</v>
      </c>
      <c r="I244" t="s">
        <v>1892</v>
      </c>
      <c r="J244" t="s">
        <v>2088</v>
      </c>
    </row>
    <row r="245" spans="1:10">
      <c r="A245" t="s">
        <v>198</v>
      </c>
      <c r="B245" t="s">
        <v>889</v>
      </c>
      <c r="C245" t="s">
        <v>213</v>
      </c>
      <c r="D245" t="s">
        <v>1674</v>
      </c>
      <c r="E245" t="s">
        <v>1049</v>
      </c>
      <c r="F245" t="s">
        <v>1839</v>
      </c>
      <c r="G245" t="s">
        <v>1741</v>
      </c>
      <c r="H245" t="s">
        <v>2004</v>
      </c>
      <c r="I245" t="s">
        <v>1898</v>
      </c>
      <c r="J245" t="s">
        <v>2088</v>
      </c>
    </row>
    <row r="246" spans="1:10">
      <c r="A246" t="s">
        <v>1481</v>
      </c>
      <c r="B246" t="s">
        <v>1483</v>
      </c>
      <c r="C246" t="s">
        <v>213</v>
      </c>
      <c r="D246" t="s">
        <v>1675</v>
      </c>
      <c r="E246" t="s">
        <v>1056</v>
      </c>
      <c r="F246" t="s">
        <v>1840</v>
      </c>
      <c r="G246" t="s">
        <v>1128</v>
      </c>
      <c r="H246" t="s">
        <v>2005</v>
      </c>
      <c r="I246" t="s">
        <v>560</v>
      </c>
      <c r="J246" t="s">
        <v>2088</v>
      </c>
    </row>
    <row r="247" spans="1:10">
      <c r="A247" t="s">
        <v>1485</v>
      </c>
      <c r="B247" t="s">
        <v>1487</v>
      </c>
      <c r="C247" t="s">
        <v>213</v>
      </c>
      <c r="D247" t="s">
        <v>1676</v>
      </c>
      <c r="E247" t="s">
        <v>222</v>
      </c>
      <c r="F247" t="s">
        <v>1841</v>
      </c>
      <c r="G247" t="s">
        <v>509</v>
      </c>
      <c r="H247" t="s">
        <v>2006</v>
      </c>
      <c r="I247" t="s">
        <v>1111</v>
      </c>
      <c r="J247" t="s">
        <v>2088</v>
      </c>
    </row>
    <row r="248" spans="1:10">
      <c r="A248" t="s">
        <v>1489</v>
      </c>
      <c r="B248" t="s">
        <v>1491</v>
      </c>
      <c r="C248" t="s">
        <v>213</v>
      </c>
      <c r="D248" t="s">
        <v>1677</v>
      </c>
      <c r="E248" t="s">
        <v>1062</v>
      </c>
      <c r="F248" t="s">
        <v>1842</v>
      </c>
      <c r="G248" t="s">
        <v>548</v>
      </c>
      <c r="H248" t="s">
        <v>2007</v>
      </c>
      <c r="I248" t="s">
        <v>1256</v>
      </c>
      <c r="J248" t="s">
        <v>2088</v>
      </c>
    </row>
    <row r="249" spans="1:10">
      <c r="A249" t="s">
        <v>1493</v>
      </c>
      <c r="B249" t="s">
        <v>1495</v>
      </c>
      <c r="C249" t="s">
        <v>213</v>
      </c>
      <c r="D249" t="s">
        <v>1678</v>
      </c>
      <c r="E249" t="s">
        <v>1062</v>
      </c>
      <c r="F249" t="s">
        <v>1843</v>
      </c>
      <c r="G249" t="s">
        <v>548</v>
      </c>
      <c r="H249" t="s">
        <v>2008</v>
      </c>
      <c r="I249" t="s">
        <v>1256</v>
      </c>
      <c r="J249" t="s">
        <v>2088</v>
      </c>
    </row>
    <row r="250" spans="1:10">
      <c r="A250" t="s">
        <v>1496</v>
      </c>
      <c r="B250" t="s">
        <v>1498</v>
      </c>
      <c r="C250" t="s">
        <v>213</v>
      </c>
      <c r="D250" t="s">
        <v>1679</v>
      </c>
      <c r="E250" t="s">
        <v>284</v>
      </c>
      <c r="F250" t="s">
        <v>1844</v>
      </c>
      <c r="G250" t="s">
        <v>551</v>
      </c>
      <c r="H250" t="s">
        <v>2009</v>
      </c>
      <c r="I250" t="s">
        <v>1217</v>
      </c>
      <c r="J250" t="s">
        <v>2088</v>
      </c>
    </row>
    <row r="251" spans="1:10">
      <c r="A251" t="s">
        <v>1500</v>
      </c>
      <c r="B251" t="s">
        <v>1466</v>
      </c>
      <c r="C251" t="s">
        <v>213</v>
      </c>
      <c r="D251" t="s">
        <v>1680</v>
      </c>
      <c r="E251" t="s">
        <v>1118</v>
      </c>
      <c r="F251" t="s">
        <v>1845</v>
      </c>
      <c r="G251" t="s">
        <v>1207</v>
      </c>
      <c r="H251" t="s">
        <v>2010</v>
      </c>
      <c r="I251" t="s">
        <v>1288</v>
      </c>
      <c r="J251" t="s">
        <v>2088</v>
      </c>
    </row>
    <row r="252" spans="1:10">
      <c r="A252" t="s">
        <v>1502</v>
      </c>
      <c r="B252" t="s">
        <v>1505</v>
      </c>
      <c r="C252" t="s">
        <v>213</v>
      </c>
      <c r="D252" t="s">
        <v>1681</v>
      </c>
      <c r="E252" t="s">
        <v>311</v>
      </c>
      <c r="F252" t="s">
        <v>1846</v>
      </c>
      <c r="G252" t="s">
        <v>1740</v>
      </c>
      <c r="H252" t="s">
        <v>2011</v>
      </c>
      <c r="I252" t="s">
        <v>2012</v>
      </c>
      <c r="J252" t="s">
        <v>2088</v>
      </c>
    </row>
    <row r="253" spans="1:10">
      <c r="A253" t="s">
        <v>1507</v>
      </c>
      <c r="B253" t="s">
        <v>1445</v>
      </c>
      <c r="C253" t="s">
        <v>213</v>
      </c>
      <c r="D253" t="s">
        <v>1682</v>
      </c>
      <c r="E253" t="s">
        <v>361</v>
      </c>
      <c r="F253" t="s">
        <v>1847</v>
      </c>
      <c r="G253" t="s">
        <v>1173</v>
      </c>
      <c r="H253" t="s">
        <v>2013</v>
      </c>
      <c r="I253" t="s">
        <v>1224</v>
      </c>
      <c r="J253" t="s">
        <v>2088</v>
      </c>
    </row>
    <row r="254" spans="1:10">
      <c r="A254" t="s">
        <v>1510</v>
      </c>
      <c r="B254" t="s">
        <v>1319</v>
      </c>
      <c r="C254" t="s">
        <v>213</v>
      </c>
      <c r="D254" t="s">
        <v>1683</v>
      </c>
      <c r="E254" t="s">
        <v>1064</v>
      </c>
      <c r="F254" t="s">
        <v>1848</v>
      </c>
      <c r="G254" t="s">
        <v>268</v>
      </c>
      <c r="H254" t="s">
        <v>2014</v>
      </c>
      <c r="I254" t="s">
        <v>1893</v>
      </c>
      <c r="J254" t="s">
        <v>2088</v>
      </c>
    </row>
    <row r="255" spans="1:10">
      <c r="A255" t="s">
        <v>1513</v>
      </c>
      <c r="B255" t="s">
        <v>1515</v>
      </c>
      <c r="C255" t="s">
        <v>213</v>
      </c>
      <c r="D255" t="s">
        <v>1684</v>
      </c>
      <c r="E255" t="s">
        <v>1086</v>
      </c>
      <c r="F255" t="s">
        <v>1849</v>
      </c>
      <c r="G255" t="s">
        <v>1166</v>
      </c>
      <c r="H255" t="s">
        <v>2015</v>
      </c>
      <c r="I255" t="s">
        <v>2016</v>
      </c>
      <c r="J255" t="s">
        <v>2088</v>
      </c>
    </row>
    <row r="256" spans="1:10">
      <c r="A256" t="s">
        <v>1517</v>
      </c>
      <c r="B256" t="s">
        <v>1519</v>
      </c>
      <c r="C256" t="s">
        <v>213</v>
      </c>
      <c r="D256" t="s">
        <v>1686</v>
      </c>
      <c r="E256" t="s">
        <v>1521</v>
      </c>
      <c r="F256" t="s">
        <v>1851</v>
      </c>
      <c r="G256" t="s">
        <v>1850</v>
      </c>
      <c r="H256" t="s">
        <v>2017</v>
      </c>
      <c r="I256" t="s">
        <v>1062</v>
      </c>
      <c r="J256" t="s">
        <v>2088</v>
      </c>
    </row>
    <row r="257" spans="1:10">
      <c r="A257" t="s">
        <v>1522</v>
      </c>
      <c r="B257" t="s">
        <v>1524</v>
      </c>
      <c r="C257" t="s">
        <v>213</v>
      </c>
      <c r="D257" t="s">
        <v>1688</v>
      </c>
      <c r="E257" t="s">
        <v>1084</v>
      </c>
      <c r="F257" t="s">
        <v>1852</v>
      </c>
      <c r="G257" t="s">
        <v>1823</v>
      </c>
      <c r="H257" t="s">
        <v>2019</v>
      </c>
      <c r="I257" t="s">
        <v>2020</v>
      </c>
      <c r="J257" t="s">
        <v>2088</v>
      </c>
    </row>
    <row r="258" spans="1:10">
      <c r="A258" t="s">
        <v>1526</v>
      </c>
      <c r="B258" t="s">
        <v>1528</v>
      </c>
      <c r="C258" t="s">
        <v>213</v>
      </c>
      <c r="D258" t="s">
        <v>1689</v>
      </c>
      <c r="E258" t="s">
        <v>354</v>
      </c>
      <c r="F258" t="s">
        <v>1853</v>
      </c>
      <c r="G258" t="s">
        <v>1770</v>
      </c>
      <c r="H258" t="s">
        <v>2022</v>
      </c>
      <c r="I258" t="s">
        <v>435</v>
      </c>
      <c r="J258" t="s">
        <v>2088</v>
      </c>
    </row>
    <row r="259" spans="1:10">
      <c r="A259" t="s">
        <v>1530</v>
      </c>
      <c r="B259" t="s">
        <v>1445</v>
      </c>
      <c r="C259" t="s">
        <v>213</v>
      </c>
      <c r="D259" t="s">
        <v>1690</v>
      </c>
      <c r="E259" t="s">
        <v>361</v>
      </c>
      <c r="F259" t="s">
        <v>1854</v>
      </c>
      <c r="G259" t="s">
        <v>1173</v>
      </c>
      <c r="H259" t="s">
        <v>2023</v>
      </c>
      <c r="I259" t="s">
        <v>1224</v>
      </c>
      <c r="J259" t="s">
        <v>2088</v>
      </c>
    </row>
    <row r="260" spans="1:10">
      <c r="A260" t="s">
        <v>1532</v>
      </c>
      <c r="B260" t="s">
        <v>1407</v>
      </c>
      <c r="C260" t="s">
        <v>213</v>
      </c>
      <c r="D260" t="s">
        <v>1691</v>
      </c>
      <c r="E260" t="s">
        <v>1068</v>
      </c>
      <c r="F260" t="s">
        <v>1855</v>
      </c>
      <c r="G260" t="s">
        <v>282</v>
      </c>
      <c r="H260" t="s">
        <v>2024</v>
      </c>
      <c r="I260" t="s">
        <v>432</v>
      </c>
      <c r="J260" t="s">
        <v>2088</v>
      </c>
    </row>
    <row r="261" spans="1:10">
      <c r="A261" t="s">
        <v>1535</v>
      </c>
      <c r="B261" t="s">
        <v>1537</v>
      </c>
      <c r="C261" t="s">
        <v>213</v>
      </c>
      <c r="D261" t="s">
        <v>1692</v>
      </c>
      <c r="E261" t="s">
        <v>1083</v>
      </c>
      <c r="F261" t="s">
        <v>1856</v>
      </c>
      <c r="G261" t="s">
        <v>1730</v>
      </c>
      <c r="H261" t="s">
        <v>2025</v>
      </c>
      <c r="I261" t="s">
        <v>1936</v>
      </c>
      <c r="J261" t="s">
        <v>2088</v>
      </c>
    </row>
    <row r="262" spans="1:10">
      <c r="A262" t="s">
        <v>1539</v>
      </c>
      <c r="B262" t="s">
        <v>1524</v>
      </c>
      <c r="C262" t="s">
        <v>213</v>
      </c>
      <c r="D262" t="s">
        <v>1693</v>
      </c>
      <c r="E262" t="s">
        <v>1084</v>
      </c>
      <c r="F262" t="s">
        <v>1857</v>
      </c>
      <c r="G262" t="s">
        <v>1823</v>
      </c>
      <c r="H262" t="s">
        <v>2026</v>
      </c>
      <c r="I262" t="s">
        <v>2020</v>
      </c>
      <c r="J262" t="s">
        <v>2088</v>
      </c>
    </row>
    <row r="263" spans="1:10">
      <c r="A263" t="s">
        <v>1542</v>
      </c>
      <c r="B263" t="s">
        <v>1544</v>
      </c>
      <c r="C263" t="s">
        <v>213</v>
      </c>
      <c r="D263" t="s">
        <v>1694</v>
      </c>
      <c r="E263" t="s">
        <v>1086</v>
      </c>
      <c r="F263" t="s">
        <v>1858</v>
      </c>
      <c r="G263" t="s">
        <v>1107</v>
      </c>
      <c r="H263" t="s">
        <v>2027</v>
      </c>
      <c r="I263" t="s">
        <v>1899</v>
      </c>
      <c r="J263" t="s">
        <v>2088</v>
      </c>
    </row>
    <row r="264" spans="1:10">
      <c r="A264" t="s">
        <v>1546</v>
      </c>
      <c r="B264" t="s">
        <v>1528</v>
      </c>
      <c r="C264" t="s">
        <v>213</v>
      </c>
      <c r="D264" t="s">
        <v>1695</v>
      </c>
      <c r="E264" t="s">
        <v>354</v>
      </c>
      <c r="F264" t="s">
        <v>1859</v>
      </c>
      <c r="G264" t="s">
        <v>1770</v>
      </c>
      <c r="H264" t="s">
        <v>2028</v>
      </c>
      <c r="I264" t="s">
        <v>435</v>
      </c>
      <c r="J264" t="s">
        <v>2088</v>
      </c>
    </row>
    <row r="265" spans="1:10">
      <c r="A265" t="s">
        <v>1548</v>
      </c>
      <c r="B265" t="s">
        <v>1550</v>
      </c>
      <c r="C265" t="s">
        <v>213</v>
      </c>
      <c r="D265" t="s">
        <v>1696</v>
      </c>
      <c r="E265" t="s">
        <v>352</v>
      </c>
      <c r="F265" t="s">
        <v>1860</v>
      </c>
      <c r="G265" t="s">
        <v>1165</v>
      </c>
      <c r="H265" t="s">
        <v>2029</v>
      </c>
      <c r="I265" t="s">
        <v>1960</v>
      </c>
      <c r="J265" t="s">
        <v>2088</v>
      </c>
    </row>
    <row r="266" spans="1:10">
      <c r="A266" t="s">
        <v>1552</v>
      </c>
      <c r="B266" t="s">
        <v>1550</v>
      </c>
      <c r="C266" t="s">
        <v>213</v>
      </c>
      <c r="D266" t="s">
        <v>1697</v>
      </c>
      <c r="E266" t="s">
        <v>352</v>
      </c>
      <c r="F266" t="s">
        <v>1862</v>
      </c>
      <c r="G266" t="s">
        <v>1165</v>
      </c>
      <c r="H266" t="s">
        <v>2030</v>
      </c>
      <c r="I266" t="s">
        <v>1960</v>
      </c>
      <c r="J266" t="s">
        <v>2088</v>
      </c>
    </row>
    <row r="267" spans="1:10">
      <c r="A267" t="s">
        <v>1554</v>
      </c>
      <c r="B267" t="s">
        <v>1556</v>
      </c>
      <c r="C267" t="s">
        <v>213</v>
      </c>
      <c r="D267" t="s">
        <v>1698</v>
      </c>
      <c r="E267" t="s">
        <v>1064</v>
      </c>
      <c r="F267" t="s">
        <v>1863</v>
      </c>
      <c r="G267" t="s">
        <v>1137</v>
      </c>
      <c r="H267" t="s">
        <v>2031</v>
      </c>
      <c r="I267" t="s">
        <v>1893</v>
      </c>
      <c r="J267" t="s">
        <v>2088</v>
      </c>
    </row>
    <row r="268" spans="1:10">
      <c r="A268" t="s">
        <v>1558</v>
      </c>
      <c r="B268" t="s">
        <v>1560</v>
      </c>
      <c r="C268" t="s">
        <v>213</v>
      </c>
      <c r="D268" t="s">
        <v>1699</v>
      </c>
      <c r="E268" t="s">
        <v>359</v>
      </c>
      <c r="F268" t="s">
        <v>1864</v>
      </c>
      <c r="G268" t="s">
        <v>1769</v>
      </c>
      <c r="H268" t="s">
        <v>2032</v>
      </c>
      <c r="I268" t="s">
        <v>1129</v>
      </c>
      <c r="J268" t="s">
        <v>2088</v>
      </c>
    </row>
    <row r="269" spans="1:10">
      <c r="A269" t="s">
        <v>1562</v>
      </c>
      <c r="B269" t="s">
        <v>1564</v>
      </c>
      <c r="C269" t="s">
        <v>213</v>
      </c>
      <c r="D269" t="s">
        <v>1700</v>
      </c>
      <c r="E269" t="s">
        <v>350</v>
      </c>
      <c r="F269" t="s">
        <v>1865</v>
      </c>
      <c r="G269" t="s">
        <v>1250</v>
      </c>
      <c r="H269" t="s">
        <v>2033</v>
      </c>
      <c r="I269" t="s">
        <v>1145</v>
      </c>
      <c r="J269" t="s">
        <v>2088</v>
      </c>
    </row>
    <row r="270" spans="1:10">
      <c r="A270" t="s">
        <v>1566</v>
      </c>
      <c r="B270" t="s">
        <v>1568</v>
      </c>
      <c r="C270" t="s">
        <v>213</v>
      </c>
      <c r="D270" t="s">
        <v>1701</v>
      </c>
      <c r="E270" t="s">
        <v>354</v>
      </c>
      <c r="F270" t="s">
        <v>1866</v>
      </c>
      <c r="G270" t="s">
        <v>1171</v>
      </c>
      <c r="H270" t="s">
        <v>2034</v>
      </c>
      <c r="I270" t="s">
        <v>1162</v>
      </c>
      <c r="J270" t="s">
        <v>2088</v>
      </c>
    </row>
    <row r="271" spans="1:10">
      <c r="A271" t="s">
        <v>1570</v>
      </c>
      <c r="B271" t="s">
        <v>1568</v>
      </c>
      <c r="C271" t="s">
        <v>213</v>
      </c>
      <c r="D271" t="s">
        <v>1702</v>
      </c>
      <c r="E271" t="s">
        <v>354</v>
      </c>
      <c r="F271" t="s">
        <v>1867</v>
      </c>
      <c r="G271" t="s">
        <v>1171</v>
      </c>
      <c r="H271" t="s">
        <v>2035</v>
      </c>
      <c r="I271" t="s">
        <v>1162</v>
      </c>
      <c r="J271" t="s">
        <v>2088</v>
      </c>
    </row>
    <row r="272" spans="1:10">
      <c r="A272" t="s">
        <v>1572</v>
      </c>
      <c r="B272" t="s">
        <v>1574</v>
      </c>
      <c r="C272" t="s">
        <v>213</v>
      </c>
      <c r="D272" t="s">
        <v>1703</v>
      </c>
      <c r="E272" t="s">
        <v>361</v>
      </c>
      <c r="F272" t="s">
        <v>1868</v>
      </c>
      <c r="G272" t="s">
        <v>1137</v>
      </c>
      <c r="H272" t="s">
        <v>2036</v>
      </c>
      <c r="I272" t="s">
        <v>1893</v>
      </c>
      <c r="J272" t="s">
        <v>2088</v>
      </c>
    </row>
    <row r="273" spans="1:10">
      <c r="A273" t="s">
        <v>1576</v>
      </c>
      <c r="B273" t="s">
        <v>1574</v>
      </c>
      <c r="C273" t="s">
        <v>213</v>
      </c>
      <c r="D273" t="s">
        <v>1704</v>
      </c>
      <c r="E273" t="s">
        <v>361</v>
      </c>
      <c r="F273" t="s">
        <v>1869</v>
      </c>
      <c r="G273" t="s">
        <v>1137</v>
      </c>
      <c r="H273" t="s">
        <v>2037</v>
      </c>
      <c r="I273" t="s">
        <v>1893</v>
      </c>
      <c r="J273" t="s">
        <v>2088</v>
      </c>
    </row>
    <row r="274" spans="1:10">
      <c r="A274" t="s">
        <v>1578</v>
      </c>
      <c r="B274" t="s">
        <v>1580</v>
      </c>
      <c r="C274" t="s">
        <v>213</v>
      </c>
      <c r="D274" t="s">
        <v>1705</v>
      </c>
      <c r="E274" t="s">
        <v>359</v>
      </c>
      <c r="F274" t="s">
        <v>1870</v>
      </c>
      <c r="G274" t="s">
        <v>236</v>
      </c>
      <c r="H274" t="s">
        <v>2038</v>
      </c>
      <c r="I274" t="s">
        <v>458</v>
      </c>
      <c r="J274" t="s">
        <v>2088</v>
      </c>
    </row>
    <row r="275" spans="1:10">
      <c r="A275" t="s">
        <v>1582</v>
      </c>
      <c r="B275" t="s">
        <v>1584</v>
      </c>
      <c r="C275" t="s">
        <v>213</v>
      </c>
      <c r="D275" t="s">
        <v>1706</v>
      </c>
      <c r="E275" t="s">
        <v>1049</v>
      </c>
      <c r="F275" t="s">
        <v>1871</v>
      </c>
      <c r="G275" t="s">
        <v>309</v>
      </c>
      <c r="H275" t="s">
        <v>2039</v>
      </c>
      <c r="I275" t="s">
        <v>1955</v>
      </c>
      <c r="J275" t="s">
        <v>2088</v>
      </c>
    </row>
    <row r="276" spans="1:10">
      <c r="A276" t="s">
        <v>1586</v>
      </c>
      <c r="B276" t="s">
        <v>1588</v>
      </c>
      <c r="C276" t="s">
        <v>213</v>
      </c>
      <c r="D276" t="s">
        <v>1707</v>
      </c>
      <c r="E276" t="s">
        <v>1088</v>
      </c>
      <c r="F276" t="s">
        <v>1872</v>
      </c>
      <c r="G276" t="s">
        <v>1168</v>
      </c>
      <c r="H276" t="s">
        <v>2040</v>
      </c>
      <c r="I276" t="s">
        <v>1899</v>
      </c>
      <c r="J276" t="s">
        <v>2088</v>
      </c>
    </row>
    <row r="277" spans="1:10">
      <c r="A277" t="s">
        <v>1590</v>
      </c>
      <c r="B277" t="s">
        <v>1592</v>
      </c>
      <c r="C277" t="s">
        <v>213</v>
      </c>
      <c r="D277" t="s">
        <v>1708</v>
      </c>
      <c r="E277" t="s">
        <v>352</v>
      </c>
      <c r="F277" t="s">
        <v>1873</v>
      </c>
      <c r="G277" t="s">
        <v>1056</v>
      </c>
      <c r="H277" t="s">
        <v>2041</v>
      </c>
      <c r="I277" t="s">
        <v>220</v>
      </c>
      <c r="J277" t="s">
        <v>2088</v>
      </c>
    </row>
    <row r="278" spans="1:10">
      <c r="A278" t="s">
        <v>1594</v>
      </c>
      <c r="B278" t="s">
        <v>690</v>
      </c>
      <c r="C278" t="s">
        <v>213</v>
      </c>
      <c r="D278" t="s">
        <v>1709</v>
      </c>
      <c r="E278" t="s">
        <v>352</v>
      </c>
      <c r="F278" t="s">
        <v>1874</v>
      </c>
      <c r="G278" t="s">
        <v>1056</v>
      </c>
      <c r="H278" t="s">
        <v>2042</v>
      </c>
      <c r="I278" t="s">
        <v>1250</v>
      </c>
      <c r="J278" t="s">
        <v>2088</v>
      </c>
    </row>
    <row r="279" spans="1:10">
      <c r="A279" t="s">
        <v>1597</v>
      </c>
      <c r="B279" t="s">
        <v>1599</v>
      </c>
      <c r="C279" t="s">
        <v>213</v>
      </c>
      <c r="D279" t="s">
        <v>1710</v>
      </c>
      <c r="E279" t="s">
        <v>1068</v>
      </c>
      <c r="F279" t="s">
        <v>1875</v>
      </c>
      <c r="G279" t="s">
        <v>546</v>
      </c>
      <c r="H279" t="s">
        <v>2043</v>
      </c>
      <c r="I279" t="s">
        <v>1254</v>
      </c>
      <c r="J279" t="s">
        <v>2088</v>
      </c>
    </row>
    <row r="280" spans="1:10">
      <c r="A280" t="s">
        <v>1601</v>
      </c>
      <c r="B280" t="s">
        <v>889</v>
      </c>
      <c r="C280" t="s">
        <v>213</v>
      </c>
      <c r="D280" t="s">
        <v>1711</v>
      </c>
      <c r="E280" t="s">
        <v>1049</v>
      </c>
      <c r="F280" t="s">
        <v>1876</v>
      </c>
      <c r="G280" t="s">
        <v>1741</v>
      </c>
      <c r="H280" t="s">
        <v>2044</v>
      </c>
      <c r="I280" t="s">
        <v>1898</v>
      </c>
      <c r="J280" t="s">
        <v>2088</v>
      </c>
    </row>
    <row r="281" spans="1:10">
      <c r="A281" t="s">
        <v>1604</v>
      </c>
      <c r="B281" t="s">
        <v>1606</v>
      </c>
      <c r="C281" t="s">
        <v>213</v>
      </c>
      <c r="D281" t="s">
        <v>1712</v>
      </c>
      <c r="E281" t="s">
        <v>272</v>
      </c>
      <c r="F281" t="s">
        <v>1877</v>
      </c>
      <c r="G281" t="s">
        <v>334</v>
      </c>
      <c r="H281" t="s">
        <v>2045</v>
      </c>
      <c r="I281" t="s">
        <v>684</v>
      </c>
      <c r="J281" t="s">
        <v>2088</v>
      </c>
    </row>
    <row r="282" spans="1:10">
      <c r="A282" t="s">
        <v>1608</v>
      </c>
      <c r="B282" t="s">
        <v>1609</v>
      </c>
      <c r="C282" t="s">
        <v>213</v>
      </c>
      <c r="D282" t="s">
        <v>1713</v>
      </c>
      <c r="E282" t="s">
        <v>272</v>
      </c>
      <c r="F282" t="s">
        <v>1878</v>
      </c>
      <c r="G282" t="s">
        <v>1733</v>
      </c>
      <c r="H282" t="s">
        <v>2046</v>
      </c>
      <c r="I282" t="s">
        <v>1247</v>
      </c>
      <c r="J282" t="s">
        <v>2088</v>
      </c>
    </row>
    <row r="283" spans="1:10">
      <c r="A283" t="s">
        <v>1612</v>
      </c>
      <c r="B283" t="s">
        <v>1613</v>
      </c>
      <c r="C283" t="s">
        <v>213</v>
      </c>
      <c r="D283" t="s">
        <v>1714</v>
      </c>
      <c r="E283" t="s">
        <v>1457</v>
      </c>
      <c r="F283" t="s">
        <v>1879</v>
      </c>
      <c r="G283" t="s">
        <v>1741</v>
      </c>
      <c r="H283" t="s">
        <v>2047</v>
      </c>
      <c r="I283" t="s">
        <v>1898</v>
      </c>
      <c r="J283" t="s">
        <v>2088</v>
      </c>
    </row>
    <row r="284" spans="1:10">
      <c r="A284" t="s">
        <v>1616</v>
      </c>
      <c r="B284" t="s">
        <v>1617</v>
      </c>
      <c r="C284" t="s">
        <v>213</v>
      </c>
      <c r="D284" t="s">
        <v>1715</v>
      </c>
      <c r="E284" t="s">
        <v>445</v>
      </c>
      <c r="F284" t="s">
        <v>1880</v>
      </c>
      <c r="G284" t="s">
        <v>1791</v>
      </c>
      <c r="H284" t="s">
        <v>2048</v>
      </c>
      <c r="I284" t="s">
        <v>1504</v>
      </c>
      <c r="J284" t="s">
        <v>2088</v>
      </c>
    </row>
    <row r="285" spans="1:10">
      <c r="A285" t="s">
        <v>1620</v>
      </c>
      <c r="B285" t="s">
        <v>1621</v>
      </c>
      <c r="C285" t="s">
        <v>213</v>
      </c>
      <c r="D285" t="s">
        <v>1716</v>
      </c>
      <c r="E285" t="s">
        <v>1058</v>
      </c>
      <c r="F285" t="s">
        <v>1881</v>
      </c>
      <c r="G285" t="s">
        <v>1737</v>
      </c>
      <c r="H285" t="s">
        <v>2049</v>
      </c>
      <c r="I285" t="s">
        <v>684</v>
      </c>
      <c r="J285" t="s">
        <v>2088</v>
      </c>
    </row>
    <row r="286" spans="1:10">
      <c r="A286" t="s">
        <v>1624</v>
      </c>
      <c r="B286" t="s">
        <v>1625</v>
      </c>
      <c r="C286" t="s">
        <v>213</v>
      </c>
      <c r="D286" t="s">
        <v>1717</v>
      </c>
      <c r="E286" t="s">
        <v>289</v>
      </c>
      <c r="F286" t="s">
        <v>1882</v>
      </c>
      <c r="G286" t="s">
        <v>505</v>
      </c>
      <c r="H286" t="s">
        <v>2050</v>
      </c>
      <c r="I286" t="s">
        <v>1949</v>
      </c>
      <c r="J286" t="s">
        <v>2088</v>
      </c>
    </row>
    <row r="287" spans="1:10">
      <c r="A287" t="s">
        <v>1629</v>
      </c>
      <c r="B287" t="s">
        <v>269</v>
      </c>
      <c r="C287" t="s">
        <v>213</v>
      </c>
      <c r="D287" t="s">
        <v>1718</v>
      </c>
      <c r="E287" t="s">
        <v>222</v>
      </c>
      <c r="F287" t="s">
        <v>1883</v>
      </c>
      <c r="G287" t="s">
        <v>1140</v>
      </c>
      <c r="H287" t="s">
        <v>2051</v>
      </c>
      <c r="I287" t="s">
        <v>672</v>
      </c>
      <c r="J287" t="s">
        <v>2088</v>
      </c>
    </row>
    <row r="288" spans="1:10">
      <c r="A288" t="s">
        <v>1631</v>
      </c>
      <c r="B288" t="s">
        <v>1632</v>
      </c>
      <c r="C288" t="s">
        <v>213</v>
      </c>
      <c r="D288" t="s">
        <v>1719</v>
      </c>
      <c r="E288" t="s">
        <v>439</v>
      </c>
      <c r="F288" t="s">
        <v>1884</v>
      </c>
      <c r="G288" t="s">
        <v>1128</v>
      </c>
      <c r="H288" t="s">
        <v>2052</v>
      </c>
      <c r="I288" t="s">
        <v>560</v>
      </c>
      <c r="J288" t="s">
        <v>2088</v>
      </c>
    </row>
    <row r="289" spans="1:10">
      <c r="A289" t="s">
        <v>1635</v>
      </c>
      <c r="B289" t="s">
        <v>1636</v>
      </c>
      <c r="C289" t="s">
        <v>213</v>
      </c>
      <c r="D289" t="s">
        <v>1720</v>
      </c>
      <c r="E289" t="s">
        <v>1074</v>
      </c>
      <c r="F289" t="s">
        <v>1885</v>
      </c>
      <c r="G289" t="s">
        <v>1886</v>
      </c>
      <c r="H289" t="s">
        <v>2053</v>
      </c>
      <c r="I289" t="s">
        <v>2054</v>
      </c>
      <c r="J289" t="s">
        <v>2088</v>
      </c>
    </row>
    <row r="290" spans="1:10">
      <c r="A290" t="s">
        <v>115</v>
      </c>
      <c r="B290" t="s">
        <v>1639</v>
      </c>
      <c r="C290" t="s">
        <v>213</v>
      </c>
      <c r="D290" t="s">
        <v>1721</v>
      </c>
      <c r="E290" t="s">
        <v>1051</v>
      </c>
      <c r="F290" t="s">
        <v>1887</v>
      </c>
      <c r="G290" t="s">
        <v>1757</v>
      </c>
      <c r="H290" t="s">
        <v>2055</v>
      </c>
      <c r="I290" t="s">
        <v>1927</v>
      </c>
      <c r="J290" t="s">
        <v>2088</v>
      </c>
    </row>
    <row r="291" spans="1:10">
      <c r="A291" t="s">
        <v>1644</v>
      </c>
      <c r="B291" t="s">
        <v>1645</v>
      </c>
      <c r="C291" t="s">
        <v>213</v>
      </c>
      <c r="D291" t="s">
        <v>1722</v>
      </c>
      <c r="E291" t="s">
        <v>1111</v>
      </c>
      <c r="F291" t="s">
        <v>1888</v>
      </c>
      <c r="G291" t="s">
        <v>1889</v>
      </c>
      <c r="H291" t="s">
        <v>2056</v>
      </c>
      <c r="I291" t="s">
        <v>2057</v>
      </c>
      <c r="J291" t="s">
        <v>2088</v>
      </c>
    </row>
    <row r="292" spans="1:10">
      <c r="A292" t="s">
        <v>1648</v>
      </c>
      <c r="B292" t="s">
        <v>1649</v>
      </c>
      <c r="C292" t="s">
        <v>213</v>
      </c>
      <c r="D292" t="s">
        <v>1723</v>
      </c>
      <c r="E292" t="s">
        <v>1081</v>
      </c>
      <c r="F292" t="s">
        <v>1890</v>
      </c>
      <c r="G292" t="s">
        <v>590</v>
      </c>
      <c r="H292" t="s">
        <v>2058</v>
      </c>
      <c r="I292" t="s">
        <v>1211</v>
      </c>
      <c r="J292" t="s">
        <v>2088</v>
      </c>
    </row>
  </sheetData>
  <phoneticPr fontId="7"/>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F72D8-CC10-48C2-B8E0-26A36C84532E}">
  <sheetPr codeName="Sheet10">
    <tabColor theme="1"/>
  </sheetPr>
  <dimension ref="A1:J292"/>
  <sheetViews>
    <sheetView workbookViewId="0"/>
  </sheetViews>
  <sheetFormatPr defaultRowHeight="18.75"/>
  <cols>
    <col min="1" max="1" width="18.375" bestFit="1" customWidth="1"/>
    <col min="2" max="2" width="11.25" bestFit="1" customWidth="1"/>
    <col min="3" max="3" width="8.125" bestFit="1" customWidth="1"/>
    <col min="4" max="4" width="24.75" bestFit="1" customWidth="1"/>
    <col min="5" max="5" width="14" bestFit="1" customWidth="1"/>
    <col min="6" max="6" width="28" bestFit="1" customWidth="1"/>
    <col min="7" max="7" width="14" bestFit="1" customWidth="1"/>
    <col min="8" max="8" width="27.375" bestFit="1" customWidth="1"/>
    <col min="9" max="9" width="14" bestFit="1" customWidth="1"/>
    <col min="10" max="10" width="7.5" bestFit="1" customWidth="1"/>
  </cols>
  <sheetData>
    <row r="1" spans="1:10" ht="30">
      <c r="A1" s="20" t="s">
        <v>2085</v>
      </c>
    </row>
    <row r="2" spans="1:10">
      <c r="A2" t="s">
        <v>206</v>
      </c>
      <c r="B2" t="s">
        <v>207</v>
      </c>
      <c r="C2" t="s">
        <v>208</v>
      </c>
      <c r="D2" t="s">
        <v>2059</v>
      </c>
      <c r="E2" t="s">
        <v>2060</v>
      </c>
      <c r="F2" t="s">
        <v>2061</v>
      </c>
      <c r="G2" t="s">
        <v>2062</v>
      </c>
      <c r="H2" t="s">
        <v>2063</v>
      </c>
      <c r="I2" t="s">
        <v>2064</v>
      </c>
      <c r="J2" t="s">
        <v>2087</v>
      </c>
    </row>
    <row r="3" spans="1:10">
      <c r="A3" t="s">
        <v>209</v>
      </c>
      <c r="B3" t="s">
        <v>215</v>
      </c>
      <c r="C3" t="s">
        <v>216</v>
      </c>
      <c r="D3" t="s">
        <v>210</v>
      </c>
      <c r="E3" t="s">
        <v>217</v>
      </c>
      <c r="F3" t="s">
        <v>478</v>
      </c>
      <c r="G3" t="s">
        <v>480</v>
      </c>
      <c r="H3" t="s">
        <v>608</v>
      </c>
      <c r="I3" t="s">
        <v>610</v>
      </c>
    </row>
    <row r="4" spans="1:10">
      <c r="A4" t="s">
        <v>218</v>
      </c>
      <c r="B4" t="s">
        <v>223</v>
      </c>
      <c r="C4" t="s">
        <v>216</v>
      </c>
      <c r="D4" t="s">
        <v>219</v>
      </c>
      <c r="E4" t="s">
        <v>224</v>
      </c>
      <c r="F4" t="s">
        <v>481</v>
      </c>
      <c r="G4" t="s">
        <v>484</v>
      </c>
      <c r="H4" t="s">
        <v>611</v>
      </c>
      <c r="I4" t="s">
        <v>614</v>
      </c>
    </row>
    <row r="5" spans="1:10">
      <c r="A5" t="s">
        <v>225</v>
      </c>
      <c r="B5" t="s">
        <v>229</v>
      </c>
      <c r="C5" t="s">
        <v>216</v>
      </c>
      <c r="D5" t="s">
        <v>226</v>
      </c>
      <c r="E5" t="s">
        <v>230</v>
      </c>
      <c r="F5" t="s">
        <v>485</v>
      </c>
      <c r="G5" t="s">
        <v>487</v>
      </c>
      <c r="H5" t="s">
        <v>615</v>
      </c>
      <c r="I5" t="s">
        <v>610</v>
      </c>
    </row>
    <row r="6" spans="1:10">
      <c r="A6" t="s">
        <v>231</v>
      </c>
      <c r="B6" t="s">
        <v>237</v>
      </c>
      <c r="C6" t="s">
        <v>216</v>
      </c>
      <c r="D6" t="s">
        <v>233</v>
      </c>
      <c r="E6" t="s">
        <v>222</v>
      </c>
      <c r="F6" t="s">
        <v>488</v>
      </c>
      <c r="G6" t="s">
        <v>490</v>
      </c>
      <c r="H6" t="s">
        <v>617</v>
      </c>
      <c r="I6" t="s">
        <v>620</v>
      </c>
    </row>
    <row r="7" spans="1:10">
      <c r="A7" t="s">
        <v>238</v>
      </c>
      <c r="B7" t="s">
        <v>241</v>
      </c>
      <c r="C7" t="s">
        <v>216</v>
      </c>
      <c r="D7" t="s">
        <v>239</v>
      </c>
      <c r="E7" t="s">
        <v>224</v>
      </c>
      <c r="F7" t="s">
        <v>491</v>
      </c>
      <c r="G7" t="s">
        <v>493</v>
      </c>
      <c r="H7" t="s">
        <v>621</v>
      </c>
      <c r="I7" t="s">
        <v>614</v>
      </c>
    </row>
    <row r="8" spans="1:10">
      <c r="A8" t="s">
        <v>242</v>
      </c>
      <c r="B8" t="s">
        <v>247</v>
      </c>
      <c r="C8" t="s">
        <v>216</v>
      </c>
      <c r="D8" t="s">
        <v>243</v>
      </c>
      <c r="E8" t="s">
        <v>248</v>
      </c>
      <c r="F8" t="s">
        <v>494</v>
      </c>
      <c r="G8" t="s">
        <v>497</v>
      </c>
      <c r="H8" t="s">
        <v>622</v>
      </c>
      <c r="I8" t="s">
        <v>625</v>
      </c>
    </row>
    <row r="9" spans="1:10">
      <c r="A9" t="s">
        <v>249</v>
      </c>
      <c r="B9" t="s">
        <v>253</v>
      </c>
      <c r="C9" t="s">
        <v>216</v>
      </c>
      <c r="D9" t="s">
        <v>250</v>
      </c>
      <c r="E9" t="s">
        <v>246</v>
      </c>
      <c r="F9" t="s">
        <v>498</v>
      </c>
      <c r="G9" t="s">
        <v>500</v>
      </c>
      <c r="H9" t="s">
        <v>626</v>
      </c>
      <c r="I9" t="s">
        <v>629</v>
      </c>
    </row>
    <row r="10" spans="1:10">
      <c r="A10" t="s">
        <v>254</v>
      </c>
      <c r="B10" t="s">
        <v>259</v>
      </c>
      <c r="C10" t="s">
        <v>216</v>
      </c>
      <c r="D10" t="s">
        <v>256</v>
      </c>
      <c r="E10" t="s">
        <v>260</v>
      </c>
      <c r="F10" t="s">
        <v>501</v>
      </c>
      <c r="G10" t="s">
        <v>472</v>
      </c>
      <c r="H10" t="s">
        <v>630</v>
      </c>
      <c r="I10" t="s">
        <v>631</v>
      </c>
    </row>
    <row r="11" spans="1:10">
      <c r="A11" t="s">
        <v>261</v>
      </c>
      <c r="B11" t="s">
        <v>265</v>
      </c>
      <c r="C11" t="s">
        <v>216</v>
      </c>
      <c r="D11" t="s">
        <v>262</v>
      </c>
      <c r="E11" t="s">
        <v>258</v>
      </c>
      <c r="F11" t="s">
        <v>503</v>
      </c>
      <c r="G11" t="s">
        <v>505</v>
      </c>
      <c r="H11" t="s">
        <v>632</v>
      </c>
      <c r="I11" t="s">
        <v>515</v>
      </c>
    </row>
    <row r="12" spans="1:10">
      <c r="A12" t="s">
        <v>266</v>
      </c>
      <c r="B12" t="s">
        <v>271</v>
      </c>
      <c r="C12" t="s">
        <v>216</v>
      </c>
      <c r="D12" t="s">
        <v>267</v>
      </c>
      <c r="E12" t="s">
        <v>272</v>
      </c>
      <c r="F12" t="s">
        <v>506</v>
      </c>
      <c r="G12" t="s">
        <v>509</v>
      </c>
      <c r="H12" t="s">
        <v>634</v>
      </c>
      <c r="I12" t="s">
        <v>636</v>
      </c>
    </row>
    <row r="13" spans="1:10">
      <c r="A13" t="s">
        <v>273</v>
      </c>
      <c r="B13" t="s">
        <v>278</v>
      </c>
      <c r="C13" t="s">
        <v>216</v>
      </c>
      <c r="D13" t="s">
        <v>274</v>
      </c>
      <c r="E13" t="s">
        <v>279</v>
      </c>
      <c r="F13" t="s">
        <v>510</v>
      </c>
      <c r="G13" t="s">
        <v>512</v>
      </c>
      <c r="H13" t="s">
        <v>637</v>
      </c>
      <c r="I13" t="s">
        <v>639</v>
      </c>
    </row>
    <row r="14" spans="1:10">
      <c r="A14" t="s">
        <v>280</v>
      </c>
      <c r="B14" t="s">
        <v>285</v>
      </c>
      <c r="C14" t="s">
        <v>216</v>
      </c>
      <c r="D14" t="s">
        <v>281</v>
      </c>
      <c r="E14" t="s">
        <v>286</v>
      </c>
      <c r="F14" t="s">
        <v>513</v>
      </c>
      <c r="G14" t="s">
        <v>515</v>
      </c>
      <c r="H14" t="s">
        <v>640</v>
      </c>
      <c r="I14" t="s">
        <v>641</v>
      </c>
    </row>
    <row r="15" spans="1:10">
      <c r="A15" t="s">
        <v>287</v>
      </c>
      <c r="B15" t="s">
        <v>292</v>
      </c>
      <c r="C15" t="s">
        <v>216</v>
      </c>
      <c r="D15" t="s">
        <v>288</v>
      </c>
      <c r="E15" t="s">
        <v>293</v>
      </c>
      <c r="F15" t="s">
        <v>516</v>
      </c>
      <c r="G15" t="s">
        <v>504</v>
      </c>
      <c r="H15" t="s">
        <v>642</v>
      </c>
      <c r="I15" t="s">
        <v>633</v>
      </c>
    </row>
    <row r="16" spans="1:10">
      <c r="A16" t="s">
        <v>294</v>
      </c>
      <c r="B16" t="s">
        <v>298</v>
      </c>
      <c r="C16" t="s">
        <v>216</v>
      </c>
      <c r="D16" t="s">
        <v>295</v>
      </c>
      <c r="E16" t="s">
        <v>236</v>
      </c>
      <c r="F16" t="s">
        <v>519</v>
      </c>
      <c r="G16" t="s">
        <v>521</v>
      </c>
      <c r="H16" t="s">
        <v>645</v>
      </c>
      <c r="I16" t="s">
        <v>647</v>
      </c>
    </row>
    <row r="17" spans="1:9">
      <c r="A17" t="s">
        <v>299</v>
      </c>
      <c r="B17" t="s">
        <v>303</v>
      </c>
      <c r="C17" t="s">
        <v>216</v>
      </c>
      <c r="D17" t="s">
        <v>300</v>
      </c>
      <c r="E17" t="s">
        <v>304</v>
      </c>
      <c r="F17" t="s">
        <v>522</v>
      </c>
      <c r="G17" t="s">
        <v>524</v>
      </c>
      <c r="H17" t="s">
        <v>648</v>
      </c>
      <c r="I17" t="s">
        <v>650</v>
      </c>
    </row>
    <row r="18" spans="1:9">
      <c r="A18" t="s">
        <v>305</v>
      </c>
      <c r="B18" t="s">
        <v>310</v>
      </c>
      <c r="C18" t="s">
        <v>216</v>
      </c>
      <c r="D18" t="s">
        <v>306</v>
      </c>
      <c r="E18" t="s">
        <v>311</v>
      </c>
      <c r="F18" t="s">
        <v>525</v>
      </c>
      <c r="G18" t="s">
        <v>527</v>
      </c>
      <c r="H18" t="s">
        <v>651</v>
      </c>
      <c r="I18" t="s">
        <v>518</v>
      </c>
    </row>
    <row r="19" spans="1:9">
      <c r="A19" t="s">
        <v>312</v>
      </c>
      <c r="B19" t="s">
        <v>316</v>
      </c>
      <c r="C19" t="s">
        <v>216</v>
      </c>
      <c r="D19" t="s">
        <v>313</v>
      </c>
      <c r="E19" t="s">
        <v>317</v>
      </c>
      <c r="F19" t="s">
        <v>528</v>
      </c>
      <c r="G19" t="s">
        <v>530</v>
      </c>
      <c r="H19" t="s">
        <v>653</v>
      </c>
      <c r="I19" t="s">
        <v>655</v>
      </c>
    </row>
    <row r="20" spans="1:9">
      <c r="A20" t="s">
        <v>318</v>
      </c>
      <c r="B20" t="s">
        <v>322</v>
      </c>
      <c r="C20" t="s">
        <v>216</v>
      </c>
      <c r="D20" t="s">
        <v>319</v>
      </c>
      <c r="E20" t="s">
        <v>323</v>
      </c>
      <c r="F20" t="s">
        <v>531</v>
      </c>
      <c r="G20" t="s">
        <v>397</v>
      </c>
      <c r="H20" t="s">
        <v>656</v>
      </c>
      <c r="I20" t="s">
        <v>658</v>
      </c>
    </row>
    <row r="21" spans="1:9">
      <c r="A21" t="s">
        <v>324</v>
      </c>
      <c r="B21" t="s">
        <v>328</v>
      </c>
      <c r="C21" t="s">
        <v>216</v>
      </c>
      <c r="D21" t="s">
        <v>325</v>
      </c>
      <c r="E21" t="s">
        <v>329</v>
      </c>
      <c r="F21" t="s">
        <v>533</v>
      </c>
      <c r="G21" t="s">
        <v>483</v>
      </c>
      <c r="H21" t="s">
        <v>659</v>
      </c>
      <c r="I21" t="s">
        <v>661</v>
      </c>
    </row>
    <row r="22" spans="1:9">
      <c r="A22" t="s">
        <v>330</v>
      </c>
      <c r="B22" t="s">
        <v>335</v>
      </c>
      <c r="C22" t="s">
        <v>216</v>
      </c>
      <c r="D22" t="s">
        <v>331</v>
      </c>
      <c r="E22" t="s">
        <v>289</v>
      </c>
      <c r="F22" t="s">
        <v>535</v>
      </c>
      <c r="G22" t="s">
        <v>537</v>
      </c>
      <c r="H22" t="s">
        <v>662</v>
      </c>
      <c r="I22" t="s">
        <v>664</v>
      </c>
    </row>
    <row r="23" spans="1:9">
      <c r="A23" t="s">
        <v>336</v>
      </c>
      <c r="B23" t="s">
        <v>340</v>
      </c>
      <c r="C23" t="s">
        <v>216</v>
      </c>
      <c r="D23" t="s">
        <v>337</v>
      </c>
      <c r="E23" t="s">
        <v>334</v>
      </c>
      <c r="F23" t="s">
        <v>538</v>
      </c>
      <c r="G23" t="s">
        <v>540</v>
      </c>
      <c r="H23" t="s">
        <v>665</v>
      </c>
      <c r="I23" t="s">
        <v>271</v>
      </c>
    </row>
    <row r="24" spans="1:9">
      <c r="A24" t="s">
        <v>341</v>
      </c>
      <c r="B24" t="s">
        <v>346</v>
      </c>
      <c r="C24" t="s">
        <v>216</v>
      </c>
      <c r="D24" t="s">
        <v>342</v>
      </c>
      <c r="E24" t="s">
        <v>347</v>
      </c>
      <c r="F24" t="s">
        <v>541</v>
      </c>
      <c r="G24" t="s">
        <v>543</v>
      </c>
      <c r="H24" t="s">
        <v>667</v>
      </c>
      <c r="I24" t="s">
        <v>670</v>
      </c>
    </row>
    <row r="25" spans="1:9">
      <c r="A25" t="s">
        <v>348</v>
      </c>
      <c r="B25" t="s">
        <v>353</v>
      </c>
      <c r="C25" t="s">
        <v>216</v>
      </c>
      <c r="D25" t="s">
        <v>349</v>
      </c>
      <c r="E25" t="s">
        <v>354</v>
      </c>
      <c r="F25" t="s">
        <v>544</v>
      </c>
      <c r="G25" t="s">
        <v>546</v>
      </c>
      <c r="H25" t="s">
        <v>671</v>
      </c>
      <c r="I25" t="s">
        <v>673</v>
      </c>
    </row>
    <row r="26" spans="1:9">
      <c r="A26" t="s">
        <v>355</v>
      </c>
      <c r="B26" t="s">
        <v>360</v>
      </c>
      <c r="C26" t="s">
        <v>216</v>
      </c>
      <c r="D26" t="s">
        <v>356</v>
      </c>
      <c r="E26" t="s">
        <v>361</v>
      </c>
      <c r="F26" t="s">
        <v>547</v>
      </c>
      <c r="G26" t="s">
        <v>548</v>
      </c>
      <c r="H26" t="s">
        <v>674</v>
      </c>
      <c r="I26" t="s">
        <v>676</v>
      </c>
    </row>
    <row r="27" spans="1:9">
      <c r="A27" t="s">
        <v>362</v>
      </c>
      <c r="B27" t="s">
        <v>366</v>
      </c>
      <c r="C27" t="s">
        <v>216</v>
      </c>
      <c r="D27" t="s">
        <v>363</v>
      </c>
      <c r="E27" t="s">
        <v>367</v>
      </c>
      <c r="F27" t="s">
        <v>549</v>
      </c>
      <c r="G27" t="s">
        <v>552</v>
      </c>
      <c r="H27" t="s">
        <v>677</v>
      </c>
      <c r="I27" t="s">
        <v>680</v>
      </c>
    </row>
    <row r="28" spans="1:9">
      <c r="A28" t="s">
        <v>368</v>
      </c>
      <c r="B28" t="s">
        <v>372</v>
      </c>
      <c r="C28" t="s">
        <v>216</v>
      </c>
      <c r="D28" t="s">
        <v>370</v>
      </c>
      <c r="E28" t="s">
        <v>361</v>
      </c>
      <c r="F28" t="s">
        <v>553</v>
      </c>
      <c r="G28" t="s">
        <v>548</v>
      </c>
      <c r="H28" t="s">
        <v>681</v>
      </c>
      <c r="I28" t="s">
        <v>676</v>
      </c>
    </row>
    <row r="29" spans="1:9">
      <c r="A29" t="s">
        <v>373</v>
      </c>
      <c r="B29" t="s">
        <v>376</v>
      </c>
      <c r="C29" t="s">
        <v>216</v>
      </c>
      <c r="D29" t="s">
        <v>374</v>
      </c>
      <c r="E29" t="s">
        <v>350</v>
      </c>
      <c r="F29" t="s">
        <v>555</v>
      </c>
      <c r="G29" t="s">
        <v>557</v>
      </c>
      <c r="H29" t="s">
        <v>682</v>
      </c>
      <c r="I29" t="s">
        <v>684</v>
      </c>
    </row>
    <row r="30" spans="1:9">
      <c r="A30" t="s">
        <v>377</v>
      </c>
      <c r="B30" t="s">
        <v>381</v>
      </c>
      <c r="C30" t="s">
        <v>216</v>
      </c>
      <c r="D30" t="s">
        <v>378</v>
      </c>
      <c r="E30" t="s">
        <v>258</v>
      </c>
      <c r="F30" t="s">
        <v>558</v>
      </c>
      <c r="G30" t="s">
        <v>505</v>
      </c>
      <c r="H30" t="s">
        <v>685</v>
      </c>
      <c r="I30" t="s">
        <v>515</v>
      </c>
    </row>
    <row r="31" spans="1:9">
      <c r="A31" t="s">
        <v>382</v>
      </c>
      <c r="B31" t="s">
        <v>385</v>
      </c>
      <c r="C31" t="s">
        <v>216</v>
      </c>
      <c r="D31" t="s">
        <v>383</v>
      </c>
      <c r="E31" t="s">
        <v>386</v>
      </c>
      <c r="F31" t="s">
        <v>561</v>
      </c>
      <c r="G31" t="s">
        <v>563</v>
      </c>
      <c r="H31" t="s">
        <v>688</v>
      </c>
      <c r="I31" t="s">
        <v>690</v>
      </c>
    </row>
    <row r="32" spans="1:9">
      <c r="A32" t="s">
        <v>387</v>
      </c>
      <c r="B32" t="s">
        <v>392</v>
      </c>
      <c r="C32" t="s">
        <v>216</v>
      </c>
      <c r="D32" t="s">
        <v>388</v>
      </c>
      <c r="E32" t="s">
        <v>393</v>
      </c>
      <c r="F32" t="s">
        <v>564</v>
      </c>
      <c r="G32" t="s">
        <v>566</v>
      </c>
      <c r="H32" t="s">
        <v>691</v>
      </c>
      <c r="I32" t="s">
        <v>693</v>
      </c>
    </row>
    <row r="33" spans="1:9">
      <c r="A33" t="s">
        <v>394</v>
      </c>
      <c r="B33" t="s">
        <v>398</v>
      </c>
      <c r="C33" t="s">
        <v>216</v>
      </c>
      <c r="D33" t="s">
        <v>395</v>
      </c>
      <c r="E33" t="s">
        <v>399</v>
      </c>
      <c r="F33" t="s">
        <v>567</v>
      </c>
      <c r="G33" t="s">
        <v>569</v>
      </c>
      <c r="H33" t="s">
        <v>694</v>
      </c>
      <c r="I33" t="s">
        <v>696</v>
      </c>
    </row>
    <row r="34" spans="1:9">
      <c r="A34" t="s">
        <v>400</v>
      </c>
      <c r="B34" t="s">
        <v>403</v>
      </c>
      <c r="C34" t="s">
        <v>216</v>
      </c>
      <c r="D34" t="s">
        <v>401</v>
      </c>
      <c r="E34" t="s">
        <v>289</v>
      </c>
      <c r="F34" t="s">
        <v>570</v>
      </c>
      <c r="G34" t="s">
        <v>489</v>
      </c>
      <c r="H34" t="s">
        <v>697</v>
      </c>
      <c r="I34" t="s">
        <v>619</v>
      </c>
    </row>
    <row r="35" spans="1:9">
      <c r="A35" t="s">
        <v>404</v>
      </c>
      <c r="B35" t="s">
        <v>409</v>
      </c>
      <c r="C35" t="s">
        <v>216</v>
      </c>
      <c r="D35" t="s">
        <v>405</v>
      </c>
      <c r="E35" t="s">
        <v>410</v>
      </c>
      <c r="F35" t="s">
        <v>571</v>
      </c>
      <c r="G35" t="s">
        <v>573</v>
      </c>
      <c r="H35" t="s">
        <v>698</v>
      </c>
      <c r="I35" t="s">
        <v>700</v>
      </c>
    </row>
    <row r="36" spans="1:9">
      <c r="A36" t="s">
        <v>411</v>
      </c>
      <c r="B36" t="s">
        <v>416</v>
      </c>
      <c r="C36" t="s">
        <v>216</v>
      </c>
      <c r="D36" t="s">
        <v>412</v>
      </c>
      <c r="E36" t="s">
        <v>417</v>
      </c>
      <c r="F36" t="s">
        <v>574</v>
      </c>
      <c r="G36" t="s">
        <v>479</v>
      </c>
      <c r="H36" t="s">
        <v>701</v>
      </c>
      <c r="I36" t="s">
        <v>609</v>
      </c>
    </row>
    <row r="37" spans="1:9">
      <c r="A37" t="s">
        <v>418</v>
      </c>
      <c r="B37" t="s">
        <v>422</v>
      </c>
      <c r="C37" t="s">
        <v>216</v>
      </c>
      <c r="D37" t="s">
        <v>419</v>
      </c>
      <c r="E37" t="s">
        <v>423</v>
      </c>
      <c r="F37" t="s">
        <v>576</v>
      </c>
      <c r="G37" t="s">
        <v>578</v>
      </c>
      <c r="H37" t="s">
        <v>703</v>
      </c>
      <c r="I37" t="s">
        <v>705</v>
      </c>
    </row>
    <row r="38" spans="1:9">
      <c r="A38" t="s">
        <v>424</v>
      </c>
      <c r="B38" t="s">
        <v>429</v>
      </c>
      <c r="C38" t="s">
        <v>216</v>
      </c>
      <c r="D38" t="s">
        <v>425</v>
      </c>
      <c r="E38" t="s">
        <v>332</v>
      </c>
      <c r="F38" t="s">
        <v>579</v>
      </c>
      <c r="G38" t="s">
        <v>581</v>
      </c>
      <c r="H38" t="s">
        <v>706</v>
      </c>
      <c r="I38" t="s">
        <v>708</v>
      </c>
    </row>
    <row r="39" spans="1:9">
      <c r="A39" t="s">
        <v>430</v>
      </c>
      <c r="B39" t="s">
        <v>434</v>
      </c>
      <c r="C39" t="s">
        <v>216</v>
      </c>
      <c r="D39" t="s">
        <v>431</v>
      </c>
      <c r="E39" t="s">
        <v>435</v>
      </c>
      <c r="F39" t="s">
        <v>582</v>
      </c>
      <c r="G39" t="s">
        <v>585</v>
      </c>
      <c r="H39" t="s">
        <v>709</v>
      </c>
      <c r="I39" t="s">
        <v>607</v>
      </c>
    </row>
    <row r="40" spans="1:9">
      <c r="A40" t="s">
        <v>436</v>
      </c>
      <c r="B40" t="s">
        <v>440</v>
      </c>
      <c r="C40" t="s">
        <v>216</v>
      </c>
      <c r="D40" t="s">
        <v>437</v>
      </c>
      <c r="E40" t="s">
        <v>441</v>
      </c>
      <c r="F40" t="s">
        <v>586</v>
      </c>
      <c r="G40" t="s">
        <v>559</v>
      </c>
      <c r="H40" t="s">
        <v>712</v>
      </c>
      <c r="I40" t="s">
        <v>714</v>
      </c>
    </row>
    <row r="41" spans="1:9">
      <c r="A41" t="s">
        <v>442</v>
      </c>
      <c r="B41" t="s">
        <v>446</v>
      </c>
      <c r="C41" t="s">
        <v>216</v>
      </c>
      <c r="D41" t="s">
        <v>443</v>
      </c>
      <c r="E41" t="s">
        <v>270</v>
      </c>
      <c r="F41" t="s">
        <v>588</v>
      </c>
      <c r="G41" t="s">
        <v>590</v>
      </c>
      <c r="H41" t="s">
        <v>715</v>
      </c>
      <c r="I41" t="s">
        <v>426</v>
      </c>
    </row>
    <row r="42" spans="1:9">
      <c r="A42" t="s">
        <v>447</v>
      </c>
      <c r="B42" t="s">
        <v>451</v>
      </c>
      <c r="C42" t="s">
        <v>216</v>
      </c>
      <c r="D42" t="s">
        <v>448</v>
      </c>
      <c r="E42" t="s">
        <v>452</v>
      </c>
      <c r="F42" t="s">
        <v>591</v>
      </c>
      <c r="G42" t="s">
        <v>592</v>
      </c>
      <c r="H42" t="s">
        <v>718</v>
      </c>
      <c r="I42" t="s">
        <v>666</v>
      </c>
    </row>
    <row r="43" spans="1:9">
      <c r="A43" t="s">
        <v>453</v>
      </c>
      <c r="B43" t="s">
        <v>457</v>
      </c>
      <c r="C43" t="s">
        <v>216</v>
      </c>
      <c r="D43" t="s">
        <v>454</v>
      </c>
      <c r="E43" t="s">
        <v>458</v>
      </c>
      <c r="F43" t="s">
        <v>593</v>
      </c>
      <c r="G43" t="s">
        <v>595</v>
      </c>
      <c r="H43" t="s">
        <v>720</v>
      </c>
      <c r="I43" t="s">
        <v>721</v>
      </c>
    </row>
    <row r="44" spans="1:9">
      <c r="A44" t="s">
        <v>459</v>
      </c>
      <c r="B44" t="s">
        <v>461</v>
      </c>
      <c r="C44" t="s">
        <v>216</v>
      </c>
      <c r="D44" t="s">
        <v>460</v>
      </c>
      <c r="E44" t="s">
        <v>222</v>
      </c>
      <c r="F44" t="s">
        <v>596</v>
      </c>
      <c r="G44" t="s">
        <v>490</v>
      </c>
      <c r="H44" t="s">
        <v>722</v>
      </c>
      <c r="I44" t="s">
        <v>620</v>
      </c>
    </row>
    <row r="45" spans="1:9">
      <c r="A45" t="s">
        <v>462</v>
      </c>
      <c r="B45" t="s">
        <v>457</v>
      </c>
      <c r="C45" t="s">
        <v>216</v>
      </c>
      <c r="D45" t="s">
        <v>463</v>
      </c>
      <c r="E45" t="s">
        <v>458</v>
      </c>
      <c r="F45" t="s">
        <v>597</v>
      </c>
      <c r="G45" t="s">
        <v>595</v>
      </c>
      <c r="H45" t="s">
        <v>724</v>
      </c>
      <c r="I45" t="s">
        <v>721</v>
      </c>
    </row>
    <row r="46" spans="1:9">
      <c r="A46" t="s">
        <v>464</v>
      </c>
      <c r="B46" t="s">
        <v>467</v>
      </c>
      <c r="C46" t="s">
        <v>216</v>
      </c>
      <c r="D46" t="s">
        <v>465</v>
      </c>
      <c r="E46" t="s">
        <v>222</v>
      </c>
      <c r="F46" t="s">
        <v>598</v>
      </c>
      <c r="G46" t="s">
        <v>601</v>
      </c>
      <c r="H46" t="s">
        <v>725</v>
      </c>
      <c r="I46" t="s">
        <v>635</v>
      </c>
    </row>
    <row r="47" spans="1:9">
      <c r="A47" t="s">
        <v>468</v>
      </c>
      <c r="B47" t="s">
        <v>473</v>
      </c>
      <c r="C47" t="s">
        <v>216</v>
      </c>
      <c r="D47" t="s">
        <v>469</v>
      </c>
      <c r="E47" t="s">
        <v>296</v>
      </c>
      <c r="F47" t="s">
        <v>602</v>
      </c>
      <c r="G47" t="s">
        <v>604</v>
      </c>
      <c r="H47" t="s">
        <v>728</v>
      </c>
      <c r="I47" t="s">
        <v>599</v>
      </c>
    </row>
    <row r="48" spans="1:9">
      <c r="A48" t="s">
        <v>474</v>
      </c>
      <c r="B48" t="s">
        <v>477</v>
      </c>
      <c r="C48" t="s">
        <v>216</v>
      </c>
      <c r="D48" t="s">
        <v>475</v>
      </c>
      <c r="E48" t="s">
        <v>309</v>
      </c>
      <c r="F48" t="s">
        <v>605</v>
      </c>
      <c r="G48" t="s">
        <v>607</v>
      </c>
      <c r="H48" t="s">
        <v>730</v>
      </c>
      <c r="I48" t="s">
        <v>732</v>
      </c>
    </row>
    <row r="49" spans="1:9">
      <c r="A49" t="s">
        <v>733</v>
      </c>
      <c r="B49" t="s">
        <v>737</v>
      </c>
      <c r="C49" t="s">
        <v>216</v>
      </c>
      <c r="D49" t="s">
        <v>734</v>
      </c>
      <c r="E49" t="s">
        <v>738</v>
      </c>
      <c r="F49" t="s">
        <v>757</v>
      </c>
      <c r="G49" t="s">
        <v>759</v>
      </c>
      <c r="H49" t="s">
        <v>770</v>
      </c>
      <c r="I49" t="s">
        <v>594</v>
      </c>
    </row>
    <row r="50" spans="1:9">
      <c r="A50" t="s">
        <v>739</v>
      </c>
      <c r="B50" t="s">
        <v>743</v>
      </c>
      <c r="C50" t="s">
        <v>216</v>
      </c>
      <c r="D50" t="s">
        <v>740</v>
      </c>
      <c r="E50" t="s">
        <v>744</v>
      </c>
      <c r="F50" t="s">
        <v>760</v>
      </c>
      <c r="G50" t="s">
        <v>762</v>
      </c>
      <c r="H50" t="s">
        <v>772</v>
      </c>
      <c r="I50" t="s">
        <v>774</v>
      </c>
    </row>
    <row r="51" spans="1:9">
      <c r="A51" t="s">
        <v>745</v>
      </c>
      <c r="B51" t="s">
        <v>749</v>
      </c>
      <c r="C51" t="s">
        <v>216</v>
      </c>
      <c r="D51" t="s">
        <v>746</v>
      </c>
      <c r="E51" t="s">
        <v>455</v>
      </c>
      <c r="F51" t="s">
        <v>763</v>
      </c>
      <c r="G51" t="s">
        <v>766</v>
      </c>
      <c r="H51" t="s">
        <v>775</v>
      </c>
      <c r="I51" t="s">
        <v>777</v>
      </c>
    </row>
    <row r="52" spans="1:9">
      <c r="A52" t="s">
        <v>750</v>
      </c>
      <c r="B52" t="s">
        <v>755</v>
      </c>
      <c r="C52" t="s">
        <v>216</v>
      </c>
      <c r="D52" t="s">
        <v>751</v>
      </c>
      <c r="E52" t="s">
        <v>756</v>
      </c>
      <c r="F52" t="s">
        <v>767</v>
      </c>
      <c r="G52" t="s">
        <v>769</v>
      </c>
      <c r="H52" t="s">
        <v>778</v>
      </c>
      <c r="I52" t="s">
        <v>780</v>
      </c>
    </row>
    <row r="53" spans="1:9">
      <c r="A53" t="s">
        <v>781</v>
      </c>
      <c r="B53" t="s">
        <v>785</v>
      </c>
      <c r="C53" t="s">
        <v>216</v>
      </c>
      <c r="D53" t="s">
        <v>782</v>
      </c>
      <c r="E53" t="s">
        <v>754</v>
      </c>
      <c r="F53" t="s">
        <v>912</v>
      </c>
      <c r="G53" t="s">
        <v>914</v>
      </c>
      <c r="H53" t="s">
        <v>979</v>
      </c>
      <c r="I53" t="s">
        <v>980</v>
      </c>
    </row>
    <row r="54" spans="1:9">
      <c r="A54" t="s">
        <v>786</v>
      </c>
      <c r="B54" t="s">
        <v>790</v>
      </c>
      <c r="C54" t="s">
        <v>216</v>
      </c>
      <c r="D54" t="s">
        <v>787</v>
      </c>
      <c r="E54" t="s">
        <v>791</v>
      </c>
      <c r="F54" t="s">
        <v>915</v>
      </c>
      <c r="G54" t="s">
        <v>857</v>
      </c>
      <c r="H54" t="s">
        <v>981</v>
      </c>
      <c r="I54" t="s">
        <v>983</v>
      </c>
    </row>
    <row r="55" spans="1:9">
      <c r="A55" t="s">
        <v>792</v>
      </c>
      <c r="B55" t="s">
        <v>796</v>
      </c>
      <c r="C55" t="s">
        <v>216</v>
      </c>
      <c r="D55" t="s">
        <v>793</v>
      </c>
      <c r="E55" t="s">
        <v>797</v>
      </c>
      <c r="F55" t="s">
        <v>917</v>
      </c>
      <c r="G55" t="s">
        <v>919</v>
      </c>
      <c r="H55" t="s">
        <v>984</v>
      </c>
      <c r="I55" t="s">
        <v>986</v>
      </c>
    </row>
    <row r="56" spans="1:9">
      <c r="A56" t="s">
        <v>798</v>
      </c>
      <c r="B56" t="s">
        <v>802</v>
      </c>
      <c r="C56" t="s">
        <v>216</v>
      </c>
      <c r="D56" t="s">
        <v>799</v>
      </c>
      <c r="E56" t="s">
        <v>803</v>
      </c>
      <c r="F56" t="s">
        <v>920</v>
      </c>
      <c r="G56" t="s">
        <v>922</v>
      </c>
      <c r="H56" t="s">
        <v>987</v>
      </c>
      <c r="I56" t="s">
        <v>989</v>
      </c>
    </row>
    <row r="57" spans="1:9">
      <c r="A57" t="s">
        <v>804</v>
      </c>
      <c r="B57" t="s">
        <v>808</v>
      </c>
      <c r="C57" t="s">
        <v>216</v>
      </c>
      <c r="D57" t="s">
        <v>805</v>
      </c>
      <c r="E57" t="s">
        <v>809</v>
      </c>
      <c r="F57" t="s">
        <v>923</v>
      </c>
      <c r="G57" t="s">
        <v>925</v>
      </c>
      <c r="H57" t="s">
        <v>990</v>
      </c>
      <c r="I57" t="s">
        <v>992</v>
      </c>
    </row>
    <row r="58" spans="1:9">
      <c r="A58" t="s">
        <v>810</v>
      </c>
      <c r="B58" t="s">
        <v>814</v>
      </c>
      <c r="C58" t="s">
        <v>216</v>
      </c>
      <c r="D58" t="s">
        <v>811</v>
      </c>
      <c r="E58" t="s">
        <v>815</v>
      </c>
      <c r="F58" t="s">
        <v>926</v>
      </c>
      <c r="G58" t="s">
        <v>916</v>
      </c>
      <c r="H58" t="s">
        <v>993</v>
      </c>
      <c r="I58" t="s">
        <v>232</v>
      </c>
    </row>
    <row r="59" spans="1:9">
      <c r="A59" t="s">
        <v>197</v>
      </c>
      <c r="B59" t="s">
        <v>819</v>
      </c>
      <c r="C59" t="s">
        <v>216</v>
      </c>
      <c r="D59" t="s">
        <v>816</v>
      </c>
      <c r="E59" t="s">
        <v>820</v>
      </c>
      <c r="F59" t="s">
        <v>928</v>
      </c>
      <c r="G59" t="s">
        <v>930</v>
      </c>
      <c r="H59" t="s">
        <v>995</v>
      </c>
      <c r="I59" t="s">
        <v>997</v>
      </c>
    </row>
    <row r="60" spans="1:9">
      <c r="A60" t="s">
        <v>821</v>
      </c>
      <c r="B60" t="s">
        <v>825</v>
      </c>
      <c r="C60" t="s">
        <v>216</v>
      </c>
      <c r="D60" t="s">
        <v>822</v>
      </c>
      <c r="E60" t="s">
        <v>826</v>
      </c>
      <c r="F60" t="s">
        <v>931</v>
      </c>
      <c r="G60" t="s">
        <v>933</v>
      </c>
      <c r="H60" t="s">
        <v>998</v>
      </c>
      <c r="I60" t="s">
        <v>1000</v>
      </c>
    </row>
    <row r="61" spans="1:9">
      <c r="A61" t="s">
        <v>827</v>
      </c>
      <c r="B61" t="s">
        <v>831</v>
      </c>
      <c r="C61" t="s">
        <v>216</v>
      </c>
      <c r="D61" t="s">
        <v>828</v>
      </c>
      <c r="E61" t="s">
        <v>832</v>
      </c>
      <c r="F61" t="s">
        <v>934</v>
      </c>
      <c r="G61" t="s">
        <v>936</v>
      </c>
      <c r="H61" t="s">
        <v>1001</v>
      </c>
      <c r="I61" t="s">
        <v>1002</v>
      </c>
    </row>
    <row r="62" spans="1:9">
      <c r="A62" t="s">
        <v>833</v>
      </c>
      <c r="B62" t="s">
        <v>837</v>
      </c>
      <c r="C62" t="s">
        <v>216</v>
      </c>
      <c r="D62" t="s">
        <v>834</v>
      </c>
      <c r="E62" t="s">
        <v>795</v>
      </c>
      <c r="F62" t="s">
        <v>937</v>
      </c>
      <c r="G62" t="s">
        <v>939</v>
      </c>
      <c r="H62" t="s">
        <v>1003</v>
      </c>
      <c r="I62" t="s">
        <v>1005</v>
      </c>
    </row>
    <row r="63" spans="1:9">
      <c r="A63" t="s">
        <v>838</v>
      </c>
      <c r="B63" t="s">
        <v>842</v>
      </c>
      <c r="C63" t="s">
        <v>216</v>
      </c>
      <c r="D63" t="s">
        <v>839</v>
      </c>
      <c r="E63" t="s">
        <v>843</v>
      </c>
      <c r="F63" t="s">
        <v>940</v>
      </c>
      <c r="G63" t="s">
        <v>942</v>
      </c>
      <c r="H63" t="s">
        <v>1006</v>
      </c>
      <c r="I63" t="s">
        <v>1008</v>
      </c>
    </row>
    <row r="64" spans="1:9">
      <c r="A64" t="s">
        <v>844</v>
      </c>
      <c r="B64" t="s">
        <v>847</v>
      </c>
      <c r="C64" t="s">
        <v>216</v>
      </c>
      <c r="D64" t="s">
        <v>845</v>
      </c>
      <c r="E64" t="s">
        <v>848</v>
      </c>
      <c r="F64" t="s">
        <v>943</v>
      </c>
      <c r="G64" t="s">
        <v>945</v>
      </c>
      <c r="H64" t="s">
        <v>1009</v>
      </c>
      <c r="I64" t="s">
        <v>1011</v>
      </c>
    </row>
    <row r="65" spans="1:9">
      <c r="A65" t="s">
        <v>849</v>
      </c>
      <c r="B65" t="s">
        <v>853</v>
      </c>
      <c r="C65" t="s">
        <v>216</v>
      </c>
      <c r="D65" t="s">
        <v>850</v>
      </c>
      <c r="E65" t="s">
        <v>854</v>
      </c>
      <c r="F65" t="s">
        <v>946</v>
      </c>
      <c r="G65" t="s">
        <v>948</v>
      </c>
      <c r="H65" t="s">
        <v>1012</v>
      </c>
      <c r="I65" t="s">
        <v>1014</v>
      </c>
    </row>
    <row r="66" spans="1:9">
      <c r="A66" t="s">
        <v>855</v>
      </c>
      <c r="B66" t="s">
        <v>860</v>
      </c>
      <c r="C66" t="s">
        <v>216</v>
      </c>
      <c r="D66" t="s">
        <v>856</v>
      </c>
      <c r="E66" t="s">
        <v>861</v>
      </c>
      <c r="F66" t="s">
        <v>949</v>
      </c>
      <c r="G66" t="s">
        <v>951</v>
      </c>
      <c r="H66" t="s">
        <v>1015</v>
      </c>
      <c r="I66" t="s">
        <v>1017</v>
      </c>
    </row>
    <row r="67" spans="1:9">
      <c r="A67" t="s">
        <v>862</v>
      </c>
      <c r="B67" t="s">
        <v>866</v>
      </c>
      <c r="C67" t="s">
        <v>216</v>
      </c>
      <c r="D67" t="s">
        <v>863</v>
      </c>
      <c r="E67" t="s">
        <v>867</v>
      </c>
      <c r="F67" t="s">
        <v>952</v>
      </c>
      <c r="G67" t="s">
        <v>954</v>
      </c>
      <c r="H67" t="s">
        <v>1018</v>
      </c>
      <c r="I67" t="s">
        <v>1020</v>
      </c>
    </row>
    <row r="68" spans="1:9">
      <c r="A68" t="s">
        <v>2065</v>
      </c>
      <c r="B68" t="s">
        <v>871</v>
      </c>
      <c r="C68" t="s">
        <v>216</v>
      </c>
      <c r="D68" t="s">
        <v>868</v>
      </c>
      <c r="E68" t="s">
        <v>872</v>
      </c>
      <c r="F68" t="s">
        <v>955</v>
      </c>
      <c r="G68" t="s">
        <v>479</v>
      </c>
      <c r="H68" t="s">
        <v>1021</v>
      </c>
      <c r="I68" t="s">
        <v>1023</v>
      </c>
    </row>
    <row r="69" spans="1:9">
      <c r="A69" t="s">
        <v>2066</v>
      </c>
      <c r="B69" t="s">
        <v>876</v>
      </c>
      <c r="C69" t="s">
        <v>216</v>
      </c>
      <c r="D69" t="s">
        <v>873</v>
      </c>
      <c r="E69" t="s">
        <v>877</v>
      </c>
      <c r="F69" t="s">
        <v>957</v>
      </c>
      <c r="G69" t="s">
        <v>959</v>
      </c>
      <c r="H69" t="s">
        <v>1024</v>
      </c>
      <c r="I69" t="s">
        <v>1026</v>
      </c>
    </row>
    <row r="70" spans="1:9">
      <c r="A70" t="s">
        <v>2067</v>
      </c>
      <c r="B70" t="s">
        <v>880</v>
      </c>
      <c r="C70" t="s">
        <v>216</v>
      </c>
      <c r="D70" t="s">
        <v>878</v>
      </c>
      <c r="E70" t="s">
        <v>228</v>
      </c>
      <c r="F70" t="s">
        <v>960</v>
      </c>
      <c r="G70" t="s">
        <v>791</v>
      </c>
      <c r="H70" t="s">
        <v>1027</v>
      </c>
      <c r="I70" t="s">
        <v>711</v>
      </c>
    </row>
    <row r="71" spans="1:9">
      <c r="A71" t="s">
        <v>2068</v>
      </c>
      <c r="B71" t="s">
        <v>885</v>
      </c>
      <c r="C71" t="s">
        <v>216</v>
      </c>
      <c r="D71" t="s">
        <v>881</v>
      </c>
      <c r="E71" t="s">
        <v>886</v>
      </c>
      <c r="F71" t="s">
        <v>961</v>
      </c>
      <c r="G71" t="s">
        <v>963</v>
      </c>
      <c r="H71" t="s">
        <v>1028</v>
      </c>
      <c r="I71" t="s">
        <v>1030</v>
      </c>
    </row>
    <row r="72" spans="1:9">
      <c r="A72" t="s">
        <v>2069</v>
      </c>
      <c r="B72" t="s">
        <v>891</v>
      </c>
      <c r="C72" t="s">
        <v>216</v>
      </c>
      <c r="D72" t="s">
        <v>887</v>
      </c>
      <c r="E72" t="s">
        <v>882</v>
      </c>
      <c r="F72" t="s">
        <v>964</v>
      </c>
      <c r="G72" t="s">
        <v>714</v>
      </c>
      <c r="H72" t="s">
        <v>1031</v>
      </c>
      <c r="I72" t="s">
        <v>1033</v>
      </c>
    </row>
    <row r="73" spans="1:9">
      <c r="A73" t="s">
        <v>2070</v>
      </c>
      <c r="B73" t="s">
        <v>894</v>
      </c>
      <c r="C73" t="s">
        <v>216</v>
      </c>
      <c r="D73" t="s">
        <v>892</v>
      </c>
      <c r="E73" t="s">
        <v>895</v>
      </c>
      <c r="F73" t="s">
        <v>966</v>
      </c>
      <c r="G73" t="s">
        <v>968</v>
      </c>
      <c r="H73" t="s">
        <v>1034</v>
      </c>
      <c r="I73" t="s">
        <v>1035</v>
      </c>
    </row>
    <row r="74" spans="1:9">
      <c r="A74" t="s">
        <v>2071</v>
      </c>
      <c r="B74" t="s">
        <v>898</v>
      </c>
      <c r="C74" t="s">
        <v>216</v>
      </c>
      <c r="D74" t="s">
        <v>896</v>
      </c>
      <c r="E74" t="s">
        <v>899</v>
      </c>
      <c r="F74" t="s">
        <v>969</v>
      </c>
      <c r="G74" t="s">
        <v>971</v>
      </c>
      <c r="H74" t="s">
        <v>1036</v>
      </c>
      <c r="I74" t="s">
        <v>1038</v>
      </c>
    </row>
    <row r="75" spans="1:9">
      <c r="A75" t="s">
        <v>2072</v>
      </c>
      <c r="B75" t="s">
        <v>891</v>
      </c>
      <c r="C75" t="s">
        <v>216</v>
      </c>
      <c r="D75" t="s">
        <v>900</v>
      </c>
      <c r="E75" t="s">
        <v>882</v>
      </c>
      <c r="F75" t="s">
        <v>972</v>
      </c>
      <c r="G75" t="s">
        <v>714</v>
      </c>
      <c r="H75" t="s">
        <v>1039</v>
      </c>
      <c r="I75" t="s">
        <v>1033</v>
      </c>
    </row>
    <row r="76" spans="1:9">
      <c r="A76" t="s">
        <v>2073</v>
      </c>
      <c r="B76" t="s">
        <v>898</v>
      </c>
      <c r="C76" t="s">
        <v>216</v>
      </c>
      <c r="D76" t="s">
        <v>901</v>
      </c>
      <c r="E76" t="s">
        <v>899</v>
      </c>
      <c r="F76" t="s">
        <v>973</v>
      </c>
      <c r="G76" t="s">
        <v>971</v>
      </c>
      <c r="H76" t="s">
        <v>1040</v>
      </c>
      <c r="I76" t="s">
        <v>1038</v>
      </c>
    </row>
    <row r="77" spans="1:9">
      <c r="A77" t="s">
        <v>2074</v>
      </c>
      <c r="B77" t="s">
        <v>905</v>
      </c>
      <c r="C77" t="s">
        <v>216</v>
      </c>
      <c r="D77" t="s">
        <v>902</v>
      </c>
      <c r="E77" t="s">
        <v>906</v>
      </c>
      <c r="F77" t="s">
        <v>974</v>
      </c>
      <c r="G77" t="s">
        <v>976</v>
      </c>
      <c r="H77" t="s">
        <v>1041</v>
      </c>
      <c r="I77" t="s">
        <v>1043</v>
      </c>
    </row>
    <row r="78" spans="1:9">
      <c r="A78" t="s">
        <v>2075</v>
      </c>
      <c r="B78" t="s">
        <v>910</v>
      </c>
      <c r="C78" t="s">
        <v>216</v>
      </c>
      <c r="D78" t="s">
        <v>907</v>
      </c>
      <c r="E78" t="s">
        <v>911</v>
      </c>
      <c r="F78" t="s">
        <v>977</v>
      </c>
      <c r="G78" t="s">
        <v>660</v>
      </c>
      <c r="H78" t="s">
        <v>1044</v>
      </c>
      <c r="I78" t="s">
        <v>1046</v>
      </c>
    </row>
    <row r="79" spans="1:9">
      <c r="A79" t="s">
        <v>209</v>
      </c>
      <c r="B79" t="s">
        <v>215</v>
      </c>
      <c r="C79" t="s">
        <v>216</v>
      </c>
      <c r="D79" t="s">
        <v>1047</v>
      </c>
      <c r="E79" t="s">
        <v>236</v>
      </c>
      <c r="F79" t="s">
        <v>1119</v>
      </c>
      <c r="G79" t="s">
        <v>590</v>
      </c>
      <c r="H79" t="s">
        <v>1208</v>
      </c>
      <c r="I79" t="s">
        <v>1211</v>
      </c>
    </row>
    <row r="80" spans="1:9">
      <c r="A80" t="s">
        <v>218</v>
      </c>
      <c r="B80" t="s">
        <v>223</v>
      </c>
      <c r="C80" t="s">
        <v>216</v>
      </c>
      <c r="D80" t="s">
        <v>1048</v>
      </c>
      <c r="E80" t="s">
        <v>1049</v>
      </c>
      <c r="F80" t="s">
        <v>1120</v>
      </c>
      <c r="G80" t="s">
        <v>309</v>
      </c>
      <c r="H80" t="s">
        <v>1212</v>
      </c>
      <c r="I80" t="s">
        <v>676</v>
      </c>
    </row>
    <row r="81" spans="1:9">
      <c r="A81" t="s">
        <v>225</v>
      </c>
      <c r="B81" t="s">
        <v>229</v>
      </c>
      <c r="C81" t="s">
        <v>216</v>
      </c>
      <c r="D81" t="s">
        <v>1050</v>
      </c>
      <c r="E81" t="s">
        <v>1052</v>
      </c>
      <c r="F81" t="s">
        <v>1122</v>
      </c>
      <c r="G81" t="s">
        <v>1124</v>
      </c>
      <c r="H81" t="s">
        <v>1214</v>
      </c>
      <c r="I81" t="s">
        <v>1215</v>
      </c>
    </row>
    <row r="82" spans="1:9">
      <c r="A82" t="s">
        <v>231</v>
      </c>
      <c r="B82" t="s">
        <v>237</v>
      </c>
      <c r="C82" t="s">
        <v>216</v>
      </c>
      <c r="D82" t="s">
        <v>1053</v>
      </c>
      <c r="E82" t="s">
        <v>357</v>
      </c>
      <c r="F82" t="s">
        <v>1125</v>
      </c>
      <c r="G82" t="s">
        <v>234</v>
      </c>
      <c r="H82" t="s">
        <v>1216</v>
      </c>
      <c r="I82" t="s">
        <v>1207</v>
      </c>
    </row>
    <row r="83" spans="1:9">
      <c r="A83" t="s">
        <v>238</v>
      </c>
      <c r="B83" t="s">
        <v>241</v>
      </c>
      <c r="C83" t="s">
        <v>216</v>
      </c>
      <c r="D83" t="s">
        <v>1054</v>
      </c>
      <c r="E83" t="s">
        <v>1049</v>
      </c>
      <c r="F83" t="s">
        <v>1126</v>
      </c>
      <c r="G83" t="s">
        <v>309</v>
      </c>
      <c r="H83" t="s">
        <v>1218</v>
      </c>
      <c r="I83" t="s">
        <v>676</v>
      </c>
    </row>
    <row r="84" spans="1:9">
      <c r="A84" t="s">
        <v>242</v>
      </c>
      <c r="B84" t="s">
        <v>247</v>
      </c>
      <c r="C84" t="s">
        <v>216</v>
      </c>
      <c r="D84" t="s">
        <v>1055</v>
      </c>
      <c r="E84" t="s">
        <v>258</v>
      </c>
      <c r="F84" t="s">
        <v>1127</v>
      </c>
      <c r="G84" t="s">
        <v>1129</v>
      </c>
      <c r="H84" t="s">
        <v>1219</v>
      </c>
      <c r="I84" t="s">
        <v>1220</v>
      </c>
    </row>
    <row r="85" spans="1:9">
      <c r="A85" t="s">
        <v>249</v>
      </c>
      <c r="B85" t="s">
        <v>253</v>
      </c>
      <c r="C85" t="s">
        <v>216</v>
      </c>
      <c r="D85" t="s">
        <v>1057</v>
      </c>
      <c r="E85" t="s">
        <v>380</v>
      </c>
      <c r="F85" t="s">
        <v>1130</v>
      </c>
      <c r="G85" t="s">
        <v>1132</v>
      </c>
      <c r="H85" t="s">
        <v>1221</v>
      </c>
      <c r="I85" t="s">
        <v>631</v>
      </c>
    </row>
    <row r="86" spans="1:9">
      <c r="A86" t="s">
        <v>254</v>
      </c>
      <c r="B86" t="s">
        <v>259</v>
      </c>
      <c r="C86" t="s">
        <v>216</v>
      </c>
      <c r="D86" t="s">
        <v>1059</v>
      </c>
      <c r="E86" t="s">
        <v>1060</v>
      </c>
      <c r="F86" t="s">
        <v>1133</v>
      </c>
      <c r="G86" t="s">
        <v>224</v>
      </c>
      <c r="H86" t="s">
        <v>1222</v>
      </c>
      <c r="I86" t="s">
        <v>246</v>
      </c>
    </row>
    <row r="87" spans="1:9">
      <c r="A87" t="s">
        <v>261</v>
      </c>
      <c r="B87" t="s">
        <v>265</v>
      </c>
      <c r="C87" t="s">
        <v>216</v>
      </c>
      <c r="D87" t="s">
        <v>1061</v>
      </c>
      <c r="E87" t="s">
        <v>361</v>
      </c>
      <c r="F87" t="s">
        <v>1135</v>
      </c>
      <c r="G87" t="s">
        <v>1137</v>
      </c>
      <c r="H87" t="s">
        <v>1223</v>
      </c>
      <c r="I87" t="s">
        <v>1224</v>
      </c>
    </row>
    <row r="88" spans="1:9">
      <c r="A88" t="s">
        <v>266</v>
      </c>
      <c r="B88" t="s">
        <v>271</v>
      </c>
      <c r="C88" t="s">
        <v>216</v>
      </c>
      <c r="D88" t="s">
        <v>1063</v>
      </c>
      <c r="E88" t="s">
        <v>1064</v>
      </c>
      <c r="F88" t="s">
        <v>1138</v>
      </c>
      <c r="G88" t="s">
        <v>268</v>
      </c>
      <c r="H88" t="s">
        <v>1225</v>
      </c>
      <c r="I88" t="s">
        <v>1106</v>
      </c>
    </row>
    <row r="89" spans="1:9">
      <c r="A89" t="s">
        <v>273</v>
      </c>
      <c r="B89" t="s">
        <v>278</v>
      </c>
      <c r="C89" t="s">
        <v>216</v>
      </c>
      <c r="D89" t="s">
        <v>1065</v>
      </c>
      <c r="E89" t="s">
        <v>268</v>
      </c>
      <c r="F89" t="s">
        <v>1141</v>
      </c>
      <c r="G89" t="s">
        <v>275</v>
      </c>
      <c r="H89" t="s">
        <v>1226</v>
      </c>
      <c r="I89" t="s">
        <v>1192</v>
      </c>
    </row>
    <row r="90" spans="1:9">
      <c r="A90" t="s">
        <v>280</v>
      </c>
      <c r="B90" t="s">
        <v>285</v>
      </c>
      <c r="C90" t="s">
        <v>216</v>
      </c>
      <c r="D90" t="s">
        <v>1067</v>
      </c>
      <c r="E90" t="s">
        <v>1068</v>
      </c>
      <c r="F90" t="s">
        <v>1142</v>
      </c>
      <c r="G90" t="s">
        <v>282</v>
      </c>
      <c r="H90" t="s">
        <v>1228</v>
      </c>
      <c r="I90" t="s">
        <v>432</v>
      </c>
    </row>
    <row r="91" spans="1:9">
      <c r="A91" t="s">
        <v>287</v>
      </c>
      <c r="B91" t="s">
        <v>292</v>
      </c>
      <c r="C91" t="s">
        <v>216</v>
      </c>
      <c r="D91" t="s">
        <v>1069</v>
      </c>
      <c r="E91" t="s">
        <v>1062</v>
      </c>
      <c r="F91" t="s">
        <v>1143</v>
      </c>
      <c r="G91" t="s">
        <v>1136</v>
      </c>
      <c r="H91" t="s">
        <v>1229</v>
      </c>
      <c r="I91" t="s">
        <v>680</v>
      </c>
    </row>
    <row r="92" spans="1:9">
      <c r="A92" t="s">
        <v>294</v>
      </c>
      <c r="B92" t="s">
        <v>298</v>
      </c>
      <c r="C92" t="s">
        <v>216</v>
      </c>
      <c r="D92" t="s">
        <v>1070</v>
      </c>
      <c r="E92" t="s">
        <v>364</v>
      </c>
      <c r="F92" t="s">
        <v>1144</v>
      </c>
      <c r="G92" t="s">
        <v>1145</v>
      </c>
      <c r="H92" t="s">
        <v>1230</v>
      </c>
      <c r="I92" t="s">
        <v>1231</v>
      </c>
    </row>
    <row r="93" spans="1:9">
      <c r="A93" t="s">
        <v>299</v>
      </c>
      <c r="B93" t="s">
        <v>303</v>
      </c>
      <c r="C93" t="s">
        <v>216</v>
      </c>
      <c r="D93" t="s">
        <v>1071</v>
      </c>
      <c r="E93" t="s">
        <v>439</v>
      </c>
      <c r="F93" t="s">
        <v>1146</v>
      </c>
      <c r="G93" t="s">
        <v>497</v>
      </c>
      <c r="H93" t="s">
        <v>1232</v>
      </c>
      <c r="I93" t="s">
        <v>1234</v>
      </c>
    </row>
    <row r="94" spans="1:9">
      <c r="A94" t="s">
        <v>305</v>
      </c>
      <c r="B94" t="s">
        <v>310</v>
      </c>
      <c r="C94" t="s">
        <v>216</v>
      </c>
      <c r="D94" t="s">
        <v>1072</v>
      </c>
      <c r="E94" t="s">
        <v>364</v>
      </c>
      <c r="F94" t="s">
        <v>1147</v>
      </c>
      <c r="G94" t="s">
        <v>1149</v>
      </c>
      <c r="H94" t="s">
        <v>1235</v>
      </c>
      <c r="I94" t="s">
        <v>1236</v>
      </c>
    </row>
    <row r="95" spans="1:9">
      <c r="A95" t="s">
        <v>312</v>
      </c>
      <c r="B95" t="s">
        <v>316</v>
      </c>
      <c r="C95" t="s">
        <v>216</v>
      </c>
      <c r="D95" t="s">
        <v>1073</v>
      </c>
      <c r="E95" t="s">
        <v>1074</v>
      </c>
      <c r="F95" t="s">
        <v>1150</v>
      </c>
      <c r="G95" t="s">
        <v>489</v>
      </c>
      <c r="H95" t="s">
        <v>1237</v>
      </c>
      <c r="I95" t="s">
        <v>711</v>
      </c>
    </row>
    <row r="96" spans="1:9">
      <c r="A96" t="s">
        <v>318</v>
      </c>
      <c r="B96" t="s">
        <v>322</v>
      </c>
      <c r="C96" t="s">
        <v>216</v>
      </c>
      <c r="D96" t="s">
        <v>1075</v>
      </c>
      <c r="E96" t="s">
        <v>282</v>
      </c>
      <c r="F96" t="s">
        <v>1151</v>
      </c>
      <c r="G96" t="s">
        <v>484</v>
      </c>
      <c r="H96" t="s">
        <v>1238</v>
      </c>
      <c r="I96" t="s">
        <v>527</v>
      </c>
    </row>
    <row r="97" spans="1:9">
      <c r="A97" t="s">
        <v>324</v>
      </c>
      <c r="B97" t="s">
        <v>328</v>
      </c>
      <c r="C97" t="s">
        <v>216</v>
      </c>
      <c r="D97" t="s">
        <v>1076</v>
      </c>
      <c r="E97" t="s">
        <v>270</v>
      </c>
      <c r="F97" t="s">
        <v>1153</v>
      </c>
      <c r="G97" t="s">
        <v>1154</v>
      </c>
      <c r="H97" t="s">
        <v>1240</v>
      </c>
      <c r="I97" t="s">
        <v>338</v>
      </c>
    </row>
    <row r="98" spans="1:9">
      <c r="A98" t="s">
        <v>330</v>
      </c>
      <c r="B98" t="s">
        <v>335</v>
      </c>
      <c r="C98" t="s">
        <v>216</v>
      </c>
      <c r="D98" t="s">
        <v>1077</v>
      </c>
      <c r="E98" t="s">
        <v>284</v>
      </c>
      <c r="F98" t="s">
        <v>1155</v>
      </c>
      <c r="G98" t="s">
        <v>321</v>
      </c>
      <c r="H98" t="s">
        <v>1242</v>
      </c>
      <c r="I98" t="s">
        <v>415</v>
      </c>
    </row>
    <row r="99" spans="1:9">
      <c r="A99" t="s">
        <v>336</v>
      </c>
      <c r="B99" t="s">
        <v>340</v>
      </c>
      <c r="C99" t="s">
        <v>216</v>
      </c>
      <c r="D99" t="s">
        <v>1078</v>
      </c>
      <c r="E99" t="s">
        <v>435</v>
      </c>
      <c r="F99" t="s">
        <v>1157</v>
      </c>
      <c r="G99" t="s">
        <v>1148</v>
      </c>
      <c r="H99" t="s">
        <v>1243</v>
      </c>
      <c r="I99" t="s">
        <v>756</v>
      </c>
    </row>
    <row r="100" spans="1:9">
      <c r="A100" t="s">
        <v>341</v>
      </c>
      <c r="B100" t="s">
        <v>346</v>
      </c>
      <c r="C100" t="s">
        <v>216</v>
      </c>
      <c r="D100" t="s">
        <v>1080</v>
      </c>
      <c r="E100" t="s">
        <v>386</v>
      </c>
      <c r="F100" t="s">
        <v>1158</v>
      </c>
      <c r="G100" t="s">
        <v>502</v>
      </c>
      <c r="H100" t="s">
        <v>1244</v>
      </c>
      <c r="I100" t="s">
        <v>735</v>
      </c>
    </row>
    <row r="101" spans="1:9">
      <c r="A101" t="s">
        <v>348</v>
      </c>
      <c r="B101" t="s">
        <v>353</v>
      </c>
      <c r="C101" t="s">
        <v>216</v>
      </c>
      <c r="D101" t="s">
        <v>1082</v>
      </c>
      <c r="E101" t="s">
        <v>1084</v>
      </c>
      <c r="F101" t="s">
        <v>1161</v>
      </c>
      <c r="G101" t="s">
        <v>1163</v>
      </c>
      <c r="H101" t="s">
        <v>1246</v>
      </c>
      <c r="I101" t="s">
        <v>364</v>
      </c>
    </row>
    <row r="102" spans="1:9">
      <c r="A102" t="s">
        <v>355</v>
      </c>
      <c r="B102" t="s">
        <v>360</v>
      </c>
      <c r="C102" t="s">
        <v>216</v>
      </c>
      <c r="D102" t="s">
        <v>1085</v>
      </c>
      <c r="E102" t="s">
        <v>1086</v>
      </c>
      <c r="F102" t="s">
        <v>1164</v>
      </c>
      <c r="G102" t="s">
        <v>1166</v>
      </c>
      <c r="H102" t="s">
        <v>1249</v>
      </c>
      <c r="I102" t="s">
        <v>1118</v>
      </c>
    </row>
    <row r="103" spans="1:9">
      <c r="A103" t="s">
        <v>362</v>
      </c>
      <c r="B103" t="s">
        <v>366</v>
      </c>
      <c r="C103" t="s">
        <v>216</v>
      </c>
      <c r="D103" t="s">
        <v>1087</v>
      </c>
      <c r="E103" t="s">
        <v>1088</v>
      </c>
      <c r="F103" t="s">
        <v>1167</v>
      </c>
      <c r="G103" t="s">
        <v>1168</v>
      </c>
      <c r="H103" t="s">
        <v>1251</v>
      </c>
      <c r="I103" t="s">
        <v>1056</v>
      </c>
    </row>
    <row r="104" spans="1:9">
      <c r="A104" t="s">
        <v>368</v>
      </c>
      <c r="B104" t="s">
        <v>372</v>
      </c>
      <c r="C104" t="s">
        <v>216</v>
      </c>
      <c r="D104" t="s">
        <v>1089</v>
      </c>
      <c r="E104" t="s">
        <v>1086</v>
      </c>
      <c r="F104" t="s">
        <v>1169</v>
      </c>
      <c r="G104" t="s">
        <v>1166</v>
      </c>
      <c r="H104" t="s">
        <v>1252</v>
      </c>
      <c r="I104" t="s">
        <v>1118</v>
      </c>
    </row>
    <row r="105" spans="1:9">
      <c r="A105" t="s">
        <v>373</v>
      </c>
      <c r="B105" t="s">
        <v>376</v>
      </c>
      <c r="C105" t="s">
        <v>216</v>
      </c>
      <c r="D105" t="s">
        <v>1090</v>
      </c>
      <c r="E105" t="s">
        <v>354</v>
      </c>
      <c r="F105" t="s">
        <v>1170</v>
      </c>
      <c r="G105" t="s">
        <v>1171</v>
      </c>
      <c r="H105" t="s">
        <v>1253</v>
      </c>
      <c r="I105" t="s">
        <v>1162</v>
      </c>
    </row>
    <row r="106" spans="1:9">
      <c r="A106" t="s">
        <v>377</v>
      </c>
      <c r="B106" t="s">
        <v>381</v>
      </c>
      <c r="C106" t="s">
        <v>216</v>
      </c>
      <c r="D106" t="s">
        <v>1091</v>
      </c>
      <c r="E106" t="s">
        <v>361</v>
      </c>
      <c r="F106" t="s">
        <v>1172</v>
      </c>
      <c r="G106" t="s">
        <v>1173</v>
      </c>
      <c r="H106" t="s">
        <v>1255</v>
      </c>
      <c r="I106" t="s">
        <v>1224</v>
      </c>
    </row>
    <row r="107" spans="1:9">
      <c r="A107" t="s">
        <v>382</v>
      </c>
      <c r="B107" t="s">
        <v>385</v>
      </c>
      <c r="C107" t="s">
        <v>216</v>
      </c>
      <c r="D107" t="s">
        <v>1092</v>
      </c>
      <c r="E107" t="s">
        <v>264</v>
      </c>
      <c r="F107" t="s">
        <v>1174</v>
      </c>
      <c r="G107" t="s">
        <v>1132</v>
      </c>
      <c r="H107" t="s">
        <v>1257</v>
      </c>
      <c r="I107" t="s">
        <v>631</v>
      </c>
    </row>
    <row r="108" spans="1:9">
      <c r="A108" t="s">
        <v>387</v>
      </c>
      <c r="B108" t="s">
        <v>392</v>
      </c>
      <c r="C108" t="s">
        <v>216</v>
      </c>
      <c r="D108" t="s">
        <v>1093</v>
      </c>
      <c r="E108" t="s">
        <v>334</v>
      </c>
      <c r="F108" t="s">
        <v>1176</v>
      </c>
      <c r="G108" t="s">
        <v>389</v>
      </c>
      <c r="H108" t="s">
        <v>1259</v>
      </c>
      <c r="I108" t="s">
        <v>686</v>
      </c>
    </row>
    <row r="109" spans="1:9">
      <c r="A109" t="s">
        <v>394</v>
      </c>
      <c r="B109" t="s">
        <v>398</v>
      </c>
      <c r="C109" t="s">
        <v>216</v>
      </c>
      <c r="D109" t="s">
        <v>1095</v>
      </c>
      <c r="E109" t="s">
        <v>1097</v>
      </c>
      <c r="F109" t="s">
        <v>1178</v>
      </c>
      <c r="G109" t="s">
        <v>759</v>
      </c>
      <c r="H109" t="s">
        <v>1260</v>
      </c>
      <c r="I109" t="s">
        <v>1262</v>
      </c>
    </row>
    <row r="110" spans="1:9">
      <c r="A110" t="s">
        <v>400</v>
      </c>
      <c r="B110" t="s">
        <v>403</v>
      </c>
      <c r="C110" t="s">
        <v>216</v>
      </c>
      <c r="D110" t="s">
        <v>1098</v>
      </c>
      <c r="E110" t="s">
        <v>284</v>
      </c>
      <c r="F110" t="s">
        <v>1180</v>
      </c>
      <c r="G110" t="s">
        <v>551</v>
      </c>
      <c r="H110" t="s">
        <v>1263</v>
      </c>
      <c r="I110" t="s">
        <v>1217</v>
      </c>
    </row>
    <row r="111" spans="1:9">
      <c r="A111" t="s">
        <v>404</v>
      </c>
      <c r="B111" t="s">
        <v>409</v>
      </c>
      <c r="C111" t="s">
        <v>216</v>
      </c>
      <c r="D111" t="s">
        <v>1099</v>
      </c>
      <c r="E111" t="s">
        <v>234</v>
      </c>
      <c r="F111" t="s">
        <v>1181</v>
      </c>
      <c r="G111" t="s">
        <v>1183</v>
      </c>
      <c r="H111" t="s">
        <v>1264</v>
      </c>
      <c r="I111" t="s">
        <v>1266</v>
      </c>
    </row>
    <row r="112" spans="1:9">
      <c r="A112" t="s">
        <v>411</v>
      </c>
      <c r="B112" t="s">
        <v>416</v>
      </c>
      <c r="C112" t="s">
        <v>216</v>
      </c>
      <c r="D112" t="s">
        <v>1100</v>
      </c>
      <c r="E112" t="s">
        <v>279</v>
      </c>
      <c r="F112" t="s">
        <v>1184</v>
      </c>
      <c r="G112" t="s">
        <v>527</v>
      </c>
      <c r="H112" t="s">
        <v>1267</v>
      </c>
      <c r="I112" t="s">
        <v>613</v>
      </c>
    </row>
    <row r="113" spans="1:9">
      <c r="A113" t="s">
        <v>418</v>
      </c>
      <c r="B113" t="s">
        <v>422</v>
      </c>
      <c r="C113" t="s">
        <v>216</v>
      </c>
      <c r="D113" t="s">
        <v>1101</v>
      </c>
      <c r="E113" t="s">
        <v>1102</v>
      </c>
      <c r="F113" t="s">
        <v>1186</v>
      </c>
      <c r="G113" t="s">
        <v>1188</v>
      </c>
      <c r="H113" t="s">
        <v>1269</v>
      </c>
      <c r="I113" t="s">
        <v>1271</v>
      </c>
    </row>
    <row r="114" spans="1:9">
      <c r="A114" t="s">
        <v>424</v>
      </c>
      <c r="B114" t="s">
        <v>429</v>
      </c>
      <c r="C114" t="s">
        <v>216</v>
      </c>
      <c r="D114" t="s">
        <v>1103</v>
      </c>
      <c r="E114" t="s">
        <v>1104</v>
      </c>
      <c r="F114" t="s">
        <v>1189</v>
      </c>
      <c r="G114" t="s">
        <v>1190</v>
      </c>
      <c r="H114" t="s">
        <v>1272</v>
      </c>
      <c r="I114" t="s">
        <v>1274</v>
      </c>
    </row>
    <row r="115" spans="1:9">
      <c r="A115" t="s">
        <v>430</v>
      </c>
      <c r="B115" t="s">
        <v>434</v>
      </c>
      <c r="C115" t="s">
        <v>216</v>
      </c>
      <c r="D115" t="s">
        <v>1105</v>
      </c>
      <c r="E115" t="s">
        <v>1107</v>
      </c>
      <c r="F115" t="s">
        <v>1191</v>
      </c>
      <c r="G115" t="s">
        <v>545</v>
      </c>
      <c r="H115" t="s">
        <v>1275</v>
      </c>
      <c r="I115" t="s">
        <v>332</v>
      </c>
    </row>
    <row r="116" spans="1:9">
      <c r="A116" t="s">
        <v>436</v>
      </c>
      <c r="B116" t="s">
        <v>440</v>
      </c>
      <c r="C116" t="s">
        <v>216</v>
      </c>
      <c r="D116" t="s">
        <v>1108</v>
      </c>
      <c r="E116" t="s">
        <v>286</v>
      </c>
      <c r="F116" t="s">
        <v>1194</v>
      </c>
      <c r="G116" t="s">
        <v>472</v>
      </c>
      <c r="H116" t="s">
        <v>1276</v>
      </c>
      <c r="I116" t="s">
        <v>1131</v>
      </c>
    </row>
    <row r="117" spans="1:9">
      <c r="A117" t="s">
        <v>442</v>
      </c>
      <c r="B117" t="s">
        <v>446</v>
      </c>
      <c r="C117" t="s">
        <v>216</v>
      </c>
      <c r="D117" t="s">
        <v>1109</v>
      </c>
      <c r="E117" t="s">
        <v>1068</v>
      </c>
      <c r="F117" t="s">
        <v>1196</v>
      </c>
      <c r="G117" t="s">
        <v>546</v>
      </c>
      <c r="H117" t="s">
        <v>1278</v>
      </c>
      <c r="I117" t="s">
        <v>1254</v>
      </c>
    </row>
    <row r="118" spans="1:9">
      <c r="A118" t="s">
        <v>447</v>
      </c>
      <c r="B118" t="s">
        <v>451</v>
      </c>
      <c r="C118" t="s">
        <v>216</v>
      </c>
      <c r="D118" t="s">
        <v>1110</v>
      </c>
      <c r="E118" t="s">
        <v>1079</v>
      </c>
      <c r="F118" t="s">
        <v>1198</v>
      </c>
      <c r="G118" t="s">
        <v>315</v>
      </c>
      <c r="H118" t="s">
        <v>1279</v>
      </c>
      <c r="I118" t="s">
        <v>1280</v>
      </c>
    </row>
    <row r="119" spans="1:9">
      <c r="A119" t="s">
        <v>453</v>
      </c>
      <c r="B119" t="s">
        <v>457</v>
      </c>
      <c r="C119" t="s">
        <v>216</v>
      </c>
      <c r="D119" t="s">
        <v>1112</v>
      </c>
      <c r="E119" t="s">
        <v>1056</v>
      </c>
      <c r="F119" t="s">
        <v>1200</v>
      </c>
      <c r="G119" t="s">
        <v>1128</v>
      </c>
      <c r="H119" t="s">
        <v>1281</v>
      </c>
      <c r="I119" t="s">
        <v>848</v>
      </c>
    </row>
    <row r="120" spans="1:9">
      <c r="A120" t="s">
        <v>459</v>
      </c>
      <c r="B120" t="s">
        <v>461</v>
      </c>
      <c r="C120" t="s">
        <v>216</v>
      </c>
      <c r="D120" t="s">
        <v>1113</v>
      </c>
      <c r="E120" t="s">
        <v>357</v>
      </c>
      <c r="F120" t="s">
        <v>1201</v>
      </c>
      <c r="G120" t="s">
        <v>234</v>
      </c>
      <c r="H120" t="s">
        <v>1282</v>
      </c>
      <c r="I120" t="s">
        <v>1207</v>
      </c>
    </row>
    <row r="121" spans="1:9">
      <c r="A121" t="s">
        <v>462</v>
      </c>
      <c r="B121" t="s">
        <v>457</v>
      </c>
      <c r="C121" t="s">
        <v>216</v>
      </c>
      <c r="D121" t="s">
        <v>1114</v>
      </c>
      <c r="E121" t="s">
        <v>1056</v>
      </c>
      <c r="F121" t="s">
        <v>1202</v>
      </c>
      <c r="G121" t="s">
        <v>1128</v>
      </c>
      <c r="H121" t="s">
        <v>1283</v>
      </c>
      <c r="I121" t="s">
        <v>848</v>
      </c>
    </row>
    <row r="122" spans="1:9">
      <c r="A122" t="s">
        <v>464</v>
      </c>
      <c r="B122" t="s">
        <v>467</v>
      </c>
      <c r="C122" t="s">
        <v>216</v>
      </c>
      <c r="D122" t="s">
        <v>1115</v>
      </c>
      <c r="E122" t="s">
        <v>258</v>
      </c>
      <c r="F122" t="s">
        <v>1203</v>
      </c>
      <c r="G122" t="s">
        <v>1140</v>
      </c>
      <c r="H122" t="s">
        <v>1284</v>
      </c>
      <c r="I122" t="s">
        <v>672</v>
      </c>
    </row>
    <row r="123" spans="1:9">
      <c r="A123" t="s">
        <v>468</v>
      </c>
      <c r="B123" t="s">
        <v>473</v>
      </c>
      <c r="C123" t="s">
        <v>216</v>
      </c>
      <c r="D123" t="s">
        <v>1116</v>
      </c>
      <c r="E123" t="s">
        <v>1058</v>
      </c>
      <c r="F123" t="s">
        <v>1204</v>
      </c>
      <c r="G123" t="s">
        <v>470</v>
      </c>
      <c r="H123" t="s">
        <v>1285</v>
      </c>
      <c r="I123" t="s">
        <v>675</v>
      </c>
    </row>
    <row r="124" spans="1:9">
      <c r="A124" t="s">
        <v>474</v>
      </c>
      <c r="B124" t="s">
        <v>477</v>
      </c>
      <c r="C124" t="s">
        <v>216</v>
      </c>
      <c r="D124" t="s">
        <v>1117</v>
      </c>
      <c r="E124" t="s">
        <v>1118</v>
      </c>
      <c r="F124" t="s">
        <v>1205</v>
      </c>
      <c r="G124" t="s">
        <v>1207</v>
      </c>
      <c r="H124" t="s">
        <v>1287</v>
      </c>
      <c r="I124" t="s">
        <v>1288</v>
      </c>
    </row>
    <row r="125" spans="1:9">
      <c r="A125" t="s">
        <v>733</v>
      </c>
      <c r="B125" t="s">
        <v>737</v>
      </c>
      <c r="C125" t="s">
        <v>216</v>
      </c>
      <c r="D125" t="s">
        <v>1289</v>
      </c>
      <c r="E125" t="s">
        <v>1291</v>
      </c>
      <c r="F125" t="s">
        <v>1297</v>
      </c>
      <c r="G125" t="s">
        <v>1298</v>
      </c>
      <c r="H125" t="s">
        <v>1303</v>
      </c>
      <c r="I125" t="s">
        <v>1305</v>
      </c>
    </row>
    <row r="126" spans="1:9">
      <c r="A126" t="s">
        <v>739</v>
      </c>
      <c r="B126" t="s">
        <v>743</v>
      </c>
      <c r="C126" t="s">
        <v>216</v>
      </c>
      <c r="D126" t="s">
        <v>1292</v>
      </c>
      <c r="E126" t="s">
        <v>452</v>
      </c>
      <c r="F126" t="s">
        <v>1299</v>
      </c>
      <c r="G126" t="s">
        <v>499</v>
      </c>
      <c r="H126" t="s">
        <v>1306</v>
      </c>
      <c r="I126" t="s">
        <v>1308</v>
      </c>
    </row>
    <row r="127" spans="1:9">
      <c r="A127" t="s">
        <v>745</v>
      </c>
      <c r="B127" t="s">
        <v>749</v>
      </c>
      <c r="C127" t="s">
        <v>216</v>
      </c>
      <c r="D127" t="s">
        <v>1294</v>
      </c>
      <c r="E127" t="s">
        <v>289</v>
      </c>
      <c r="F127" t="s">
        <v>1300</v>
      </c>
      <c r="G127" t="s">
        <v>508</v>
      </c>
      <c r="H127" t="s">
        <v>1309</v>
      </c>
      <c r="I127" t="s">
        <v>1311</v>
      </c>
    </row>
    <row r="128" spans="1:9">
      <c r="A128" t="s">
        <v>750</v>
      </c>
      <c r="B128" t="s">
        <v>755</v>
      </c>
      <c r="C128" t="s">
        <v>216</v>
      </c>
      <c r="D128" t="s">
        <v>1295</v>
      </c>
      <c r="E128" t="s">
        <v>1066</v>
      </c>
      <c r="F128" t="s">
        <v>1301</v>
      </c>
      <c r="G128" t="s">
        <v>595</v>
      </c>
      <c r="H128" t="s">
        <v>1312</v>
      </c>
      <c r="I128" t="s">
        <v>1313</v>
      </c>
    </row>
    <row r="129" spans="1:9">
      <c r="A129" t="s">
        <v>781</v>
      </c>
      <c r="B129" t="s">
        <v>785</v>
      </c>
      <c r="C129" t="s">
        <v>216</v>
      </c>
      <c r="D129" t="s">
        <v>1314</v>
      </c>
      <c r="E129" t="s">
        <v>452</v>
      </c>
      <c r="F129" t="s">
        <v>1344</v>
      </c>
      <c r="G129" t="s">
        <v>687</v>
      </c>
      <c r="H129" t="s">
        <v>1374</v>
      </c>
      <c r="I129" t="s">
        <v>1347</v>
      </c>
    </row>
    <row r="130" spans="1:9">
      <c r="A130" t="s">
        <v>786</v>
      </c>
      <c r="B130" t="s">
        <v>790</v>
      </c>
      <c r="C130" t="s">
        <v>216</v>
      </c>
      <c r="D130" t="s">
        <v>1316</v>
      </c>
      <c r="E130" t="s">
        <v>515</v>
      </c>
      <c r="F130" t="s">
        <v>1345</v>
      </c>
      <c r="G130" t="s">
        <v>635</v>
      </c>
      <c r="H130" t="s">
        <v>1375</v>
      </c>
      <c r="I130" t="s">
        <v>514</v>
      </c>
    </row>
    <row r="131" spans="1:9">
      <c r="A131" t="s">
        <v>792</v>
      </c>
      <c r="B131" t="s">
        <v>796</v>
      </c>
      <c r="C131" t="s">
        <v>216</v>
      </c>
      <c r="D131" t="s">
        <v>1317</v>
      </c>
      <c r="E131" t="s">
        <v>1290</v>
      </c>
      <c r="F131" t="s">
        <v>1346</v>
      </c>
      <c r="G131" t="s">
        <v>1347</v>
      </c>
      <c r="H131" t="s">
        <v>1376</v>
      </c>
      <c r="I131" t="s">
        <v>646</v>
      </c>
    </row>
    <row r="132" spans="1:9">
      <c r="A132" t="s">
        <v>798</v>
      </c>
      <c r="B132" t="s">
        <v>802</v>
      </c>
      <c r="C132" t="s">
        <v>216</v>
      </c>
      <c r="D132" t="s">
        <v>1318</v>
      </c>
      <c r="E132" t="s">
        <v>211</v>
      </c>
      <c r="F132" t="s">
        <v>1348</v>
      </c>
      <c r="G132" t="s">
        <v>1206</v>
      </c>
      <c r="H132" t="s">
        <v>1378</v>
      </c>
      <c r="I132" t="s">
        <v>732</v>
      </c>
    </row>
    <row r="133" spans="1:9">
      <c r="A133" t="s">
        <v>804</v>
      </c>
      <c r="B133" t="s">
        <v>808</v>
      </c>
      <c r="C133" t="s">
        <v>216</v>
      </c>
      <c r="D133" t="s">
        <v>1320</v>
      </c>
      <c r="E133" t="s">
        <v>1321</v>
      </c>
      <c r="F133" t="s">
        <v>1349</v>
      </c>
      <c r="G133" t="s">
        <v>1156</v>
      </c>
      <c r="H133" t="s">
        <v>1379</v>
      </c>
      <c r="I133" t="s">
        <v>664</v>
      </c>
    </row>
    <row r="134" spans="1:9">
      <c r="A134" t="s">
        <v>810</v>
      </c>
      <c r="B134" t="s">
        <v>814</v>
      </c>
      <c r="C134" t="s">
        <v>216</v>
      </c>
      <c r="D134" t="s">
        <v>1322</v>
      </c>
      <c r="E134" t="s">
        <v>423</v>
      </c>
      <c r="F134" t="s">
        <v>1350</v>
      </c>
      <c r="G134" t="s">
        <v>686</v>
      </c>
      <c r="H134" t="s">
        <v>1380</v>
      </c>
      <c r="I134" t="s">
        <v>487</v>
      </c>
    </row>
    <row r="135" spans="1:9">
      <c r="A135" t="s">
        <v>197</v>
      </c>
      <c r="B135" t="s">
        <v>819</v>
      </c>
      <c r="C135" t="s">
        <v>216</v>
      </c>
      <c r="D135" t="s">
        <v>1323</v>
      </c>
      <c r="E135" t="s">
        <v>1325</v>
      </c>
      <c r="F135" t="s">
        <v>1352</v>
      </c>
      <c r="G135" t="s">
        <v>534</v>
      </c>
      <c r="H135" t="s">
        <v>1382</v>
      </c>
      <c r="I135" t="s">
        <v>1384</v>
      </c>
    </row>
    <row r="136" spans="1:9">
      <c r="A136" t="s">
        <v>821</v>
      </c>
      <c r="B136" t="s">
        <v>825</v>
      </c>
      <c r="C136" t="s">
        <v>216</v>
      </c>
      <c r="D136" t="s">
        <v>1326</v>
      </c>
      <c r="E136" t="s">
        <v>302</v>
      </c>
      <c r="F136" t="s">
        <v>1354</v>
      </c>
      <c r="G136" t="s">
        <v>1206</v>
      </c>
      <c r="H136" t="s">
        <v>1385</v>
      </c>
      <c r="I136" t="s">
        <v>1319</v>
      </c>
    </row>
    <row r="137" spans="1:9">
      <c r="A137" t="s">
        <v>827</v>
      </c>
      <c r="B137" t="s">
        <v>831</v>
      </c>
      <c r="C137" t="s">
        <v>216</v>
      </c>
      <c r="D137" t="s">
        <v>1327</v>
      </c>
      <c r="E137" t="s">
        <v>426</v>
      </c>
      <c r="F137" t="s">
        <v>1355</v>
      </c>
      <c r="G137" t="s">
        <v>600</v>
      </c>
      <c r="H137" t="s">
        <v>1387</v>
      </c>
      <c r="I137" t="s">
        <v>1310</v>
      </c>
    </row>
    <row r="138" spans="1:9">
      <c r="A138" t="s">
        <v>833</v>
      </c>
      <c r="B138" t="s">
        <v>837</v>
      </c>
      <c r="C138" t="s">
        <v>216</v>
      </c>
      <c r="D138" t="s">
        <v>1329</v>
      </c>
      <c r="E138" t="s">
        <v>507</v>
      </c>
      <c r="F138" t="s">
        <v>1356</v>
      </c>
      <c r="G138" t="s">
        <v>877</v>
      </c>
      <c r="H138" t="s">
        <v>1388</v>
      </c>
      <c r="I138" t="s">
        <v>1377</v>
      </c>
    </row>
    <row r="139" spans="1:9">
      <c r="A139" t="s">
        <v>838</v>
      </c>
      <c r="B139" t="s">
        <v>842</v>
      </c>
      <c r="C139" t="s">
        <v>216</v>
      </c>
      <c r="D139" t="s">
        <v>1330</v>
      </c>
      <c r="E139" t="s">
        <v>1331</v>
      </c>
      <c r="F139" t="s">
        <v>1357</v>
      </c>
      <c r="G139" t="s">
        <v>1358</v>
      </c>
      <c r="H139" t="s">
        <v>1389</v>
      </c>
      <c r="I139" t="s">
        <v>1391</v>
      </c>
    </row>
    <row r="140" spans="1:9">
      <c r="A140" t="s">
        <v>844</v>
      </c>
      <c r="B140" t="s">
        <v>847</v>
      </c>
      <c r="C140" t="s">
        <v>216</v>
      </c>
      <c r="D140" t="s">
        <v>1332</v>
      </c>
      <c r="E140" t="s">
        <v>680</v>
      </c>
      <c r="F140" t="s">
        <v>1359</v>
      </c>
      <c r="G140" t="s">
        <v>1361</v>
      </c>
      <c r="H140" t="s">
        <v>1392</v>
      </c>
      <c r="I140" t="s">
        <v>1394</v>
      </c>
    </row>
    <row r="141" spans="1:9">
      <c r="A141" t="s">
        <v>849</v>
      </c>
      <c r="B141" t="s">
        <v>853</v>
      </c>
      <c r="C141" t="s">
        <v>216</v>
      </c>
      <c r="D141" t="s">
        <v>1333</v>
      </c>
      <c r="E141" t="s">
        <v>228</v>
      </c>
      <c r="F141" t="s">
        <v>1362</v>
      </c>
      <c r="G141" t="s">
        <v>1363</v>
      </c>
      <c r="H141" t="s">
        <v>1395</v>
      </c>
      <c r="I141" t="s">
        <v>1396</v>
      </c>
    </row>
    <row r="142" spans="1:9">
      <c r="A142" t="s">
        <v>855</v>
      </c>
      <c r="B142" t="s">
        <v>860</v>
      </c>
      <c r="C142" t="s">
        <v>216</v>
      </c>
      <c r="D142" t="s">
        <v>1335</v>
      </c>
      <c r="E142" t="s">
        <v>1094</v>
      </c>
      <c r="F142" t="s">
        <v>1364</v>
      </c>
      <c r="G142" t="s">
        <v>1366</v>
      </c>
      <c r="H142" t="s">
        <v>1397</v>
      </c>
      <c r="I142" t="s">
        <v>1399</v>
      </c>
    </row>
    <row r="143" spans="1:9">
      <c r="A143" t="s">
        <v>862</v>
      </c>
      <c r="B143" t="s">
        <v>866</v>
      </c>
      <c r="C143" t="s">
        <v>216</v>
      </c>
      <c r="D143" t="s">
        <v>1336</v>
      </c>
      <c r="E143" t="s">
        <v>832</v>
      </c>
      <c r="F143" t="s">
        <v>1367</v>
      </c>
      <c r="G143" t="s">
        <v>1369</v>
      </c>
      <c r="H143" t="s">
        <v>1400</v>
      </c>
      <c r="I143" t="s">
        <v>1402</v>
      </c>
    </row>
    <row r="144" spans="1:9">
      <c r="A144" t="s">
        <v>2065</v>
      </c>
      <c r="B144" t="s">
        <v>871</v>
      </c>
      <c r="C144" t="s">
        <v>216</v>
      </c>
      <c r="D144" t="s">
        <v>1337</v>
      </c>
      <c r="E144" t="s">
        <v>490</v>
      </c>
      <c r="F144" t="s">
        <v>1370</v>
      </c>
      <c r="G144" t="s">
        <v>595</v>
      </c>
      <c r="H144" t="s">
        <v>1403</v>
      </c>
      <c r="I144" t="s">
        <v>1313</v>
      </c>
    </row>
    <row r="145" spans="1:10">
      <c r="A145" t="s">
        <v>2066</v>
      </c>
      <c r="B145" t="s">
        <v>876</v>
      </c>
      <c r="C145" t="s">
        <v>216</v>
      </c>
      <c r="D145" t="s">
        <v>1339</v>
      </c>
      <c r="E145" t="s">
        <v>1234</v>
      </c>
      <c r="F145" t="s">
        <v>1371</v>
      </c>
      <c r="G145" t="s">
        <v>487</v>
      </c>
      <c r="H145" t="s">
        <v>1404</v>
      </c>
      <c r="I145" t="s">
        <v>1405</v>
      </c>
    </row>
    <row r="146" spans="1:10">
      <c r="A146" t="s">
        <v>2067</v>
      </c>
      <c r="B146" t="s">
        <v>880</v>
      </c>
      <c r="C146" t="s">
        <v>216</v>
      </c>
      <c r="D146" t="s">
        <v>1341</v>
      </c>
      <c r="E146" t="s">
        <v>244</v>
      </c>
      <c r="F146" t="s">
        <v>1373</v>
      </c>
      <c r="G146" t="s">
        <v>509</v>
      </c>
      <c r="H146" t="s">
        <v>1406</v>
      </c>
      <c r="I146" t="s">
        <v>1111</v>
      </c>
    </row>
    <row r="147" spans="1:10">
      <c r="A147" t="s">
        <v>2068</v>
      </c>
      <c r="B147" t="s">
        <v>885</v>
      </c>
      <c r="C147" t="s">
        <v>216</v>
      </c>
      <c r="D147" t="s">
        <v>1343</v>
      </c>
      <c r="E147" t="s">
        <v>1343</v>
      </c>
      <c r="F147" t="s">
        <v>1343</v>
      </c>
      <c r="G147" t="s">
        <v>1343</v>
      </c>
      <c r="H147" t="s">
        <v>1343</v>
      </c>
      <c r="I147" t="s">
        <v>1343</v>
      </c>
    </row>
    <row r="148" spans="1:10">
      <c r="A148" t="s">
        <v>2069</v>
      </c>
      <c r="B148" t="s">
        <v>891</v>
      </c>
      <c r="C148" t="s">
        <v>216</v>
      </c>
      <c r="D148" t="s">
        <v>1343</v>
      </c>
      <c r="E148" t="s">
        <v>1343</v>
      </c>
      <c r="F148" t="s">
        <v>1343</v>
      </c>
      <c r="G148" t="s">
        <v>1343</v>
      </c>
      <c r="H148" t="s">
        <v>1343</v>
      </c>
      <c r="I148" t="s">
        <v>1343</v>
      </c>
    </row>
    <row r="149" spans="1:10">
      <c r="A149" t="s">
        <v>2070</v>
      </c>
      <c r="B149" t="s">
        <v>894</v>
      </c>
      <c r="C149" t="s">
        <v>216</v>
      </c>
      <c r="D149" t="s">
        <v>1343</v>
      </c>
      <c r="E149" t="s">
        <v>1343</v>
      </c>
      <c r="F149" t="s">
        <v>1343</v>
      </c>
      <c r="G149" t="s">
        <v>1343</v>
      </c>
      <c r="H149" t="s">
        <v>1343</v>
      </c>
      <c r="I149" t="s">
        <v>1343</v>
      </c>
    </row>
    <row r="150" spans="1:10">
      <c r="A150" t="s">
        <v>2071</v>
      </c>
      <c r="B150" t="s">
        <v>898</v>
      </c>
      <c r="C150" t="s">
        <v>216</v>
      </c>
      <c r="D150" t="s">
        <v>1343</v>
      </c>
      <c r="E150" t="s">
        <v>1343</v>
      </c>
      <c r="F150" t="s">
        <v>1343</v>
      </c>
      <c r="G150" t="s">
        <v>1343</v>
      </c>
      <c r="H150" t="s">
        <v>1343</v>
      </c>
      <c r="I150" t="s">
        <v>1343</v>
      </c>
    </row>
    <row r="151" spans="1:10">
      <c r="A151" t="s">
        <v>2072</v>
      </c>
      <c r="B151" t="s">
        <v>891</v>
      </c>
      <c r="C151" t="s">
        <v>216</v>
      </c>
      <c r="D151" t="s">
        <v>1343</v>
      </c>
      <c r="E151" t="s">
        <v>1343</v>
      </c>
      <c r="F151" t="s">
        <v>1343</v>
      </c>
      <c r="G151" t="s">
        <v>1343</v>
      </c>
      <c r="H151" t="s">
        <v>1343</v>
      </c>
      <c r="I151" t="s">
        <v>1343</v>
      </c>
    </row>
    <row r="152" spans="1:10">
      <c r="A152" t="s">
        <v>2073</v>
      </c>
      <c r="B152" t="s">
        <v>898</v>
      </c>
      <c r="C152" t="s">
        <v>216</v>
      </c>
      <c r="D152" t="s">
        <v>1343</v>
      </c>
      <c r="E152" t="s">
        <v>1343</v>
      </c>
      <c r="F152" t="s">
        <v>1343</v>
      </c>
      <c r="G152" t="s">
        <v>1343</v>
      </c>
      <c r="H152" t="s">
        <v>1343</v>
      </c>
      <c r="I152" t="s">
        <v>1343</v>
      </c>
    </row>
    <row r="153" spans="1:10">
      <c r="A153" t="s">
        <v>2074</v>
      </c>
      <c r="B153" t="s">
        <v>905</v>
      </c>
      <c r="C153" t="s">
        <v>216</v>
      </c>
      <c r="D153" t="s">
        <v>1343</v>
      </c>
      <c r="E153" t="s">
        <v>1343</v>
      </c>
      <c r="F153" t="s">
        <v>1343</v>
      </c>
      <c r="G153" t="s">
        <v>1343</v>
      </c>
      <c r="H153" t="s">
        <v>1343</v>
      </c>
      <c r="I153" t="s">
        <v>1343</v>
      </c>
    </row>
    <row r="154" spans="1:10">
      <c r="A154" t="s">
        <v>2075</v>
      </c>
      <c r="B154" t="s">
        <v>910</v>
      </c>
      <c r="C154" t="s">
        <v>216</v>
      </c>
      <c r="D154" t="s">
        <v>1343</v>
      </c>
      <c r="E154" t="s">
        <v>1343</v>
      </c>
      <c r="F154" t="s">
        <v>1343</v>
      </c>
      <c r="G154" t="s">
        <v>1343</v>
      </c>
      <c r="H154" t="s">
        <v>1343</v>
      </c>
      <c r="I154" t="s">
        <v>1343</v>
      </c>
    </row>
    <row r="155" spans="1:10">
      <c r="A155" t="s">
        <v>1408</v>
      </c>
      <c r="B155" t="s">
        <v>1411</v>
      </c>
      <c r="C155" t="s">
        <v>216</v>
      </c>
      <c r="D155" t="s">
        <v>1409</v>
      </c>
      <c r="E155" t="s">
        <v>354</v>
      </c>
      <c r="F155" t="s">
        <v>1724</v>
      </c>
      <c r="G155" t="s">
        <v>1162</v>
      </c>
      <c r="H155" t="s">
        <v>1891</v>
      </c>
      <c r="I155" t="s">
        <v>1893</v>
      </c>
      <c r="J155" t="s">
        <v>2088</v>
      </c>
    </row>
    <row r="156" spans="1:10">
      <c r="A156" t="s">
        <v>1412</v>
      </c>
      <c r="B156" t="s">
        <v>1415</v>
      </c>
      <c r="C156" t="s">
        <v>216</v>
      </c>
      <c r="D156" t="s">
        <v>1413</v>
      </c>
      <c r="E156" t="s">
        <v>352</v>
      </c>
      <c r="F156" t="s">
        <v>1725</v>
      </c>
      <c r="G156" t="s">
        <v>282</v>
      </c>
      <c r="H156" t="s">
        <v>1894</v>
      </c>
      <c r="I156" t="s">
        <v>458</v>
      </c>
      <c r="J156" t="s">
        <v>2088</v>
      </c>
    </row>
    <row r="157" spans="1:10">
      <c r="A157" t="s">
        <v>1416</v>
      </c>
      <c r="B157" t="s">
        <v>1419</v>
      </c>
      <c r="C157" t="s">
        <v>216</v>
      </c>
      <c r="D157" t="s">
        <v>1417</v>
      </c>
      <c r="E157" t="s">
        <v>1064</v>
      </c>
      <c r="F157" t="s">
        <v>1727</v>
      </c>
      <c r="G157" t="s">
        <v>1106</v>
      </c>
      <c r="H157" t="s">
        <v>1895</v>
      </c>
      <c r="I157" t="s">
        <v>676</v>
      </c>
      <c r="J157" t="s">
        <v>2088</v>
      </c>
    </row>
    <row r="158" spans="1:10">
      <c r="A158" t="s">
        <v>1420</v>
      </c>
      <c r="B158" t="s">
        <v>1423</v>
      </c>
      <c r="C158" t="s">
        <v>216</v>
      </c>
      <c r="D158" t="s">
        <v>1421</v>
      </c>
      <c r="E158" t="s">
        <v>359</v>
      </c>
      <c r="F158" t="s">
        <v>1728</v>
      </c>
      <c r="G158" t="s">
        <v>1140</v>
      </c>
      <c r="H158" t="s">
        <v>1896</v>
      </c>
      <c r="I158" t="s">
        <v>1892</v>
      </c>
      <c r="J158" t="s">
        <v>2088</v>
      </c>
    </row>
    <row r="159" spans="1:10">
      <c r="A159" t="s">
        <v>1424</v>
      </c>
      <c r="B159" t="s">
        <v>1426</v>
      </c>
      <c r="C159" t="s">
        <v>216</v>
      </c>
      <c r="D159" t="s">
        <v>1425</v>
      </c>
      <c r="E159" t="s">
        <v>1084</v>
      </c>
      <c r="F159" t="s">
        <v>1729</v>
      </c>
      <c r="G159" t="s">
        <v>1730</v>
      </c>
      <c r="H159" t="s">
        <v>1897</v>
      </c>
      <c r="I159" t="s">
        <v>1899</v>
      </c>
      <c r="J159" t="s">
        <v>2088</v>
      </c>
    </row>
    <row r="160" spans="1:10">
      <c r="A160" t="s">
        <v>1427</v>
      </c>
      <c r="B160" t="s">
        <v>1426</v>
      </c>
      <c r="C160" t="s">
        <v>216</v>
      </c>
      <c r="D160" t="s">
        <v>1428</v>
      </c>
      <c r="E160" t="s">
        <v>1084</v>
      </c>
      <c r="F160" t="s">
        <v>1731</v>
      </c>
      <c r="G160" t="s">
        <v>1730</v>
      </c>
      <c r="H160" t="s">
        <v>1900</v>
      </c>
      <c r="I160" t="s">
        <v>1899</v>
      </c>
      <c r="J160" t="s">
        <v>2088</v>
      </c>
    </row>
    <row r="161" spans="1:10">
      <c r="A161" t="s">
        <v>1429</v>
      </c>
      <c r="B161" t="s">
        <v>1432</v>
      </c>
      <c r="C161" t="s">
        <v>216</v>
      </c>
      <c r="D161" t="s">
        <v>1430</v>
      </c>
      <c r="E161" t="s">
        <v>1433</v>
      </c>
      <c r="F161" t="s">
        <v>1732</v>
      </c>
      <c r="G161" t="s">
        <v>264</v>
      </c>
      <c r="H161" t="s">
        <v>1901</v>
      </c>
      <c r="I161" t="s">
        <v>1056</v>
      </c>
      <c r="J161" t="s">
        <v>2088</v>
      </c>
    </row>
    <row r="162" spans="1:10">
      <c r="A162" t="s">
        <v>1434</v>
      </c>
      <c r="B162" t="s">
        <v>1432</v>
      </c>
      <c r="C162" t="s">
        <v>216</v>
      </c>
      <c r="D162" t="s">
        <v>1435</v>
      </c>
      <c r="E162" t="s">
        <v>1433</v>
      </c>
      <c r="F162" t="s">
        <v>1734</v>
      </c>
      <c r="G162" t="s">
        <v>264</v>
      </c>
      <c r="H162" t="s">
        <v>1902</v>
      </c>
      <c r="I162" t="s">
        <v>1056</v>
      </c>
      <c r="J162" t="s">
        <v>2088</v>
      </c>
    </row>
    <row r="163" spans="1:10">
      <c r="A163" t="s">
        <v>1436</v>
      </c>
      <c r="B163" t="s">
        <v>1439</v>
      </c>
      <c r="C163" t="s">
        <v>216</v>
      </c>
      <c r="D163" t="s">
        <v>1437</v>
      </c>
      <c r="E163" t="s">
        <v>354</v>
      </c>
      <c r="F163" t="s">
        <v>1735</v>
      </c>
      <c r="G163" t="s">
        <v>1733</v>
      </c>
      <c r="H163" t="s">
        <v>1903</v>
      </c>
      <c r="I163" t="s">
        <v>1224</v>
      </c>
      <c r="J163" t="s">
        <v>2088</v>
      </c>
    </row>
    <row r="164" spans="1:10">
      <c r="A164" t="s">
        <v>1440</v>
      </c>
      <c r="B164" t="s">
        <v>1442</v>
      </c>
      <c r="C164" t="s">
        <v>216</v>
      </c>
      <c r="D164" t="s">
        <v>1441</v>
      </c>
      <c r="E164" t="s">
        <v>354</v>
      </c>
      <c r="F164" t="s">
        <v>1736</v>
      </c>
      <c r="G164" t="s">
        <v>236</v>
      </c>
      <c r="H164" t="s">
        <v>1904</v>
      </c>
      <c r="I164" t="s">
        <v>1106</v>
      </c>
      <c r="J164" t="s">
        <v>2088</v>
      </c>
    </row>
    <row r="165" spans="1:10">
      <c r="A165" t="s">
        <v>1443</v>
      </c>
      <c r="B165" t="s">
        <v>1446</v>
      </c>
      <c r="C165" t="s">
        <v>216</v>
      </c>
      <c r="D165" t="s">
        <v>1444</v>
      </c>
      <c r="E165" t="s">
        <v>1064</v>
      </c>
      <c r="F165" t="s">
        <v>1738</v>
      </c>
      <c r="G165" t="s">
        <v>1106</v>
      </c>
      <c r="H165" t="s">
        <v>1905</v>
      </c>
      <c r="I165" t="s">
        <v>676</v>
      </c>
      <c r="J165" t="s">
        <v>2088</v>
      </c>
    </row>
    <row r="166" spans="1:10">
      <c r="A166" t="s">
        <v>1447</v>
      </c>
      <c r="B166" t="s">
        <v>1450</v>
      </c>
      <c r="C166" t="s">
        <v>216</v>
      </c>
      <c r="D166" t="s">
        <v>1448</v>
      </c>
      <c r="E166" t="s">
        <v>361</v>
      </c>
      <c r="F166" t="s">
        <v>1739</v>
      </c>
      <c r="G166" t="s">
        <v>1741</v>
      </c>
      <c r="H166" t="s">
        <v>1906</v>
      </c>
      <c r="I166" t="s">
        <v>1907</v>
      </c>
      <c r="J166" t="s">
        <v>2088</v>
      </c>
    </row>
    <row r="167" spans="1:10">
      <c r="A167" t="s">
        <v>1451</v>
      </c>
      <c r="B167" t="s">
        <v>1454</v>
      </c>
      <c r="C167" t="s">
        <v>216</v>
      </c>
      <c r="D167" t="s">
        <v>1452</v>
      </c>
      <c r="E167" t="s">
        <v>359</v>
      </c>
      <c r="F167" t="s">
        <v>1742</v>
      </c>
      <c r="G167" t="s">
        <v>1140</v>
      </c>
      <c r="H167" t="s">
        <v>1908</v>
      </c>
      <c r="I167" t="s">
        <v>1892</v>
      </c>
      <c r="J167" t="s">
        <v>2088</v>
      </c>
    </row>
    <row r="168" spans="1:10">
      <c r="A168" t="s">
        <v>1455</v>
      </c>
      <c r="B168" t="s">
        <v>1459</v>
      </c>
      <c r="C168" t="s">
        <v>216</v>
      </c>
      <c r="D168" t="s">
        <v>1456</v>
      </c>
      <c r="E168" t="s">
        <v>260</v>
      </c>
      <c r="F168" t="s">
        <v>1743</v>
      </c>
      <c r="G168" t="s">
        <v>1504</v>
      </c>
      <c r="H168" t="s">
        <v>1910</v>
      </c>
      <c r="I168" t="s">
        <v>1627</v>
      </c>
      <c r="J168" t="s">
        <v>2088</v>
      </c>
    </row>
    <row r="169" spans="1:10">
      <c r="A169" t="s">
        <v>1460</v>
      </c>
      <c r="B169" t="s">
        <v>1463</v>
      </c>
      <c r="C169" t="s">
        <v>216</v>
      </c>
      <c r="D169" t="s">
        <v>1461</v>
      </c>
      <c r="E169" t="s">
        <v>364</v>
      </c>
      <c r="F169" t="s">
        <v>1744</v>
      </c>
      <c r="G169" t="s">
        <v>1128</v>
      </c>
      <c r="H169" t="s">
        <v>1911</v>
      </c>
      <c r="I169" t="s">
        <v>1912</v>
      </c>
      <c r="J169" t="s">
        <v>2088</v>
      </c>
    </row>
    <row r="170" spans="1:10">
      <c r="A170" t="s">
        <v>1464</v>
      </c>
      <c r="B170" t="s">
        <v>1467</v>
      </c>
      <c r="C170" t="s">
        <v>216</v>
      </c>
      <c r="D170" t="s">
        <v>1465</v>
      </c>
      <c r="E170" t="s">
        <v>445</v>
      </c>
      <c r="F170" t="s">
        <v>1745</v>
      </c>
      <c r="G170" t="s">
        <v>502</v>
      </c>
      <c r="H170" t="s">
        <v>1913</v>
      </c>
      <c r="I170" t="s">
        <v>1258</v>
      </c>
      <c r="J170" t="s">
        <v>2088</v>
      </c>
    </row>
    <row r="171" spans="1:10">
      <c r="A171" t="s">
        <v>1468</v>
      </c>
      <c r="B171" t="s">
        <v>1459</v>
      </c>
      <c r="C171" t="s">
        <v>216</v>
      </c>
      <c r="D171" t="s">
        <v>1469</v>
      </c>
      <c r="E171" t="s">
        <v>260</v>
      </c>
      <c r="F171" t="s">
        <v>1746</v>
      </c>
      <c r="G171" t="s">
        <v>1504</v>
      </c>
      <c r="H171" t="s">
        <v>1914</v>
      </c>
      <c r="I171" t="s">
        <v>1627</v>
      </c>
      <c r="J171" t="s">
        <v>2088</v>
      </c>
    </row>
    <row r="172" spans="1:10">
      <c r="A172" t="s">
        <v>1470</v>
      </c>
      <c r="B172" t="s">
        <v>1450</v>
      </c>
      <c r="C172" t="s">
        <v>216</v>
      </c>
      <c r="D172" t="s">
        <v>1471</v>
      </c>
      <c r="E172" t="s">
        <v>361</v>
      </c>
      <c r="F172" t="s">
        <v>1747</v>
      </c>
      <c r="G172" t="s">
        <v>1741</v>
      </c>
      <c r="H172" t="s">
        <v>1915</v>
      </c>
      <c r="I172" t="s">
        <v>1907</v>
      </c>
      <c r="J172" t="s">
        <v>2088</v>
      </c>
    </row>
    <row r="173" spans="1:10">
      <c r="A173" t="s">
        <v>1472</v>
      </c>
      <c r="B173" t="s">
        <v>1446</v>
      </c>
      <c r="C173" t="s">
        <v>216</v>
      </c>
      <c r="D173" t="s">
        <v>1473</v>
      </c>
      <c r="E173" t="s">
        <v>1064</v>
      </c>
      <c r="F173" t="s">
        <v>1748</v>
      </c>
      <c r="G173" t="s">
        <v>1106</v>
      </c>
      <c r="H173" t="s">
        <v>1916</v>
      </c>
      <c r="I173" t="s">
        <v>676</v>
      </c>
      <c r="J173" t="s">
        <v>2088</v>
      </c>
    </row>
    <row r="174" spans="1:10">
      <c r="A174" t="s">
        <v>1474</v>
      </c>
      <c r="B174" t="s">
        <v>891</v>
      </c>
      <c r="C174" t="s">
        <v>216</v>
      </c>
      <c r="D174" t="s">
        <v>1475</v>
      </c>
      <c r="E174" t="s">
        <v>1062</v>
      </c>
      <c r="F174" t="s">
        <v>1749</v>
      </c>
      <c r="G174" t="s">
        <v>472</v>
      </c>
      <c r="H174" t="s">
        <v>1917</v>
      </c>
      <c r="I174" t="s">
        <v>631</v>
      </c>
      <c r="J174" t="s">
        <v>2088</v>
      </c>
    </row>
    <row r="175" spans="1:10">
      <c r="A175" t="s">
        <v>1476</v>
      </c>
      <c r="B175" t="s">
        <v>1479</v>
      </c>
      <c r="C175" t="s">
        <v>216</v>
      </c>
      <c r="D175" t="s">
        <v>1477</v>
      </c>
      <c r="E175" t="s">
        <v>357</v>
      </c>
      <c r="F175" t="s">
        <v>1750</v>
      </c>
      <c r="G175" t="s">
        <v>1207</v>
      </c>
      <c r="H175" t="s">
        <v>1918</v>
      </c>
      <c r="I175" t="s">
        <v>1919</v>
      </c>
      <c r="J175" t="s">
        <v>2088</v>
      </c>
    </row>
    <row r="176" spans="1:10">
      <c r="A176" t="s">
        <v>198</v>
      </c>
      <c r="B176" t="s">
        <v>891</v>
      </c>
      <c r="C176" t="s">
        <v>216</v>
      </c>
      <c r="D176" t="s">
        <v>1480</v>
      </c>
      <c r="E176" t="s">
        <v>1062</v>
      </c>
      <c r="F176" t="s">
        <v>1751</v>
      </c>
      <c r="G176" t="s">
        <v>472</v>
      </c>
      <c r="H176" t="s">
        <v>1920</v>
      </c>
      <c r="I176" t="s">
        <v>631</v>
      </c>
      <c r="J176" t="s">
        <v>2088</v>
      </c>
    </row>
    <row r="177" spans="1:10">
      <c r="A177" t="s">
        <v>1481</v>
      </c>
      <c r="B177" t="s">
        <v>1484</v>
      </c>
      <c r="C177" t="s">
        <v>216</v>
      </c>
      <c r="D177" t="s">
        <v>1482</v>
      </c>
      <c r="E177" t="s">
        <v>248</v>
      </c>
      <c r="F177" t="s">
        <v>1752</v>
      </c>
      <c r="G177" t="s">
        <v>504</v>
      </c>
      <c r="H177" t="s">
        <v>1921</v>
      </c>
      <c r="I177" t="s">
        <v>563</v>
      </c>
      <c r="J177" t="s">
        <v>2088</v>
      </c>
    </row>
    <row r="178" spans="1:10">
      <c r="A178" t="s">
        <v>1485</v>
      </c>
      <c r="B178" t="s">
        <v>1488</v>
      </c>
      <c r="C178" t="s">
        <v>216</v>
      </c>
      <c r="D178" t="s">
        <v>1486</v>
      </c>
      <c r="E178" t="s">
        <v>435</v>
      </c>
      <c r="F178" t="s">
        <v>1754</v>
      </c>
      <c r="G178" t="s">
        <v>1755</v>
      </c>
      <c r="H178" t="s">
        <v>1923</v>
      </c>
      <c r="I178" t="s">
        <v>635</v>
      </c>
      <c r="J178" t="s">
        <v>2088</v>
      </c>
    </row>
    <row r="179" spans="1:10">
      <c r="A179" t="s">
        <v>1489</v>
      </c>
      <c r="B179" t="s">
        <v>1492</v>
      </c>
      <c r="C179" t="s">
        <v>216</v>
      </c>
      <c r="D179" t="s">
        <v>1490</v>
      </c>
      <c r="E179" t="s">
        <v>258</v>
      </c>
      <c r="F179" t="s">
        <v>1756</v>
      </c>
      <c r="G179" t="s">
        <v>1758</v>
      </c>
      <c r="H179" t="s">
        <v>1924</v>
      </c>
      <c r="I179" t="s">
        <v>1213</v>
      </c>
      <c r="J179" t="s">
        <v>2088</v>
      </c>
    </row>
    <row r="180" spans="1:10">
      <c r="A180" t="s">
        <v>1493</v>
      </c>
      <c r="B180" t="s">
        <v>1492</v>
      </c>
      <c r="C180" t="s">
        <v>216</v>
      </c>
      <c r="D180" t="s">
        <v>1494</v>
      </c>
      <c r="E180" t="s">
        <v>258</v>
      </c>
      <c r="F180" t="s">
        <v>1759</v>
      </c>
      <c r="G180" t="s">
        <v>1758</v>
      </c>
      <c r="H180" t="s">
        <v>1925</v>
      </c>
      <c r="I180" t="s">
        <v>1213</v>
      </c>
      <c r="J180" t="s">
        <v>2088</v>
      </c>
    </row>
    <row r="181" spans="1:10">
      <c r="A181" t="s">
        <v>1496</v>
      </c>
      <c r="B181" t="s">
        <v>1499</v>
      </c>
      <c r="C181" t="s">
        <v>216</v>
      </c>
      <c r="D181" t="s">
        <v>1497</v>
      </c>
      <c r="E181" t="s">
        <v>222</v>
      </c>
      <c r="F181" t="s">
        <v>1760</v>
      </c>
      <c r="G181" t="s">
        <v>550</v>
      </c>
      <c r="H181" t="s">
        <v>1926</v>
      </c>
      <c r="I181" t="s">
        <v>678</v>
      </c>
      <c r="J181" t="s">
        <v>2088</v>
      </c>
    </row>
    <row r="182" spans="1:10">
      <c r="A182" t="s">
        <v>1500</v>
      </c>
      <c r="B182" t="s">
        <v>1467</v>
      </c>
      <c r="C182" t="s">
        <v>216</v>
      </c>
      <c r="D182" t="s">
        <v>1501</v>
      </c>
      <c r="E182" t="s">
        <v>445</v>
      </c>
      <c r="F182" t="s">
        <v>1762</v>
      </c>
      <c r="G182" t="s">
        <v>502</v>
      </c>
      <c r="H182" t="s">
        <v>1928</v>
      </c>
      <c r="I182" t="s">
        <v>1258</v>
      </c>
      <c r="J182" t="s">
        <v>2088</v>
      </c>
    </row>
    <row r="183" spans="1:10">
      <c r="A183" t="s">
        <v>1502</v>
      </c>
      <c r="B183" t="s">
        <v>1506</v>
      </c>
      <c r="C183" t="s">
        <v>216</v>
      </c>
      <c r="D183" t="s">
        <v>1503</v>
      </c>
      <c r="E183" t="s">
        <v>282</v>
      </c>
      <c r="F183" t="s">
        <v>1763</v>
      </c>
      <c r="G183" t="s">
        <v>527</v>
      </c>
      <c r="H183" t="s">
        <v>1929</v>
      </c>
      <c r="I183" t="s">
        <v>717</v>
      </c>
      <c r="J183" t="s">
        <v>2088</v>
      </c>
    </row>
    <row r="184" spans="1:10">
      <c r="A184" t="s">
        <v>1507</v>
      </c>
      <c r="B184" t="s">
        <v>1509</v>
      </c>
      <c r="C184" t="s">
        <v>216</v>
      </c>
      <c r="D184" t="s">
        <v>1508</v>
      </c>
      <c r="E184" t="s">
        <v>1064</v>
      </c>
      <c r="F184" t="s">
        <v>1764</v>
      </c>
      <c r="G184" t="s">
        <v>1106</v>
      </c>
      <c r="H184" t="s">
        <v>1930</v>
      </c>
      <c r="I184" t="s">
        <v>676</v>
      </c>
      <c r="J184" t="s">
        <v>2088</v>
      </c>
    </row>
    <row r="185" spans="1:10">
      <c r="A185" t="s">
        <v>1510</v>
      </c>
      <c r="B185" t="s">
        <v>1512</v>
      </c>
      <c r="C185" t="s">
        <v>216</v>
      </c>
      <c r="D185" t="s">
        <v>1511</v>
      </c>
      <c r="E185" t="s">
        <v>367</v>
      </c>
      <c r="F185" t="s">
        <v>1765</v>
      </c>
      <c r="G185" t="s">
        <v>1136</v>
      </c>
      <c r="H185" t="s">
        <v>1931</v>
      </c>
      <c r="I185" t="s">
        <v>1898</v>
      </c>
      <c r="J185" t="s">
        <v>2088</v>
      </c>
    </row>
    <row r="186" spans="1:10">
      <c r="A186" t="s">
        <v>1513</v>
      </c>
      <c r="B186" t="s">
        <v>1516</v>
      </c>
      <c r="C186" t="s">
        <v>216</v>
      </c>
      <c r="D186" t="s">
        <v>1514</v>
      </c>
      <c r="E186" t="s">
        <v>1088</v>
      </c>
      <c r="F186" t="s">
        <v>1766</v>
      </c>
      <c r="G186" t="s">
        <v>1165</v>
      </c>
      <c r="H186" t="s">
        <v>1932</v>
      </c>
      <c r="I186" t="s">
        <v>1933</v>
      </c>
      <c r="J186" t="s">
        <v>2088</v>
      </c>
    </row>
    <row r="187" spans="1:10">
      <c r="A187" t="s">
        <v>1517</v>
      </c>
      <c r="B187" t="s">
        <v>1520</v>
      </c>
      <c r="C187" t="s">
        <v>216</v>
      </c>
      <c r="D187" t="s">
        <v>1518</v>
      </c>
      <c r="E187" t="s">
        <v>1521</v>
      </c>
      <c r="F187" t="s">
        <v>1767</v>
      </c>
      <c r="G187" t="s">
        <v>1166</v>
      </c>
      <c r="H187" t="s">
        <v>1934</v>
      </c>
      <c r="I187" t="s">
        <v>1770</v>
      </c>
      <c r="J187" t="s">
        <v>2088</v>
      </c>
    </row>
    <row r="188" spans="1:10">
      <c r="A188" t="s">
        <v>1522</v>
      </c>
      <c r="B188" t="s">
        <v>1525</v>
      </c>
      <c r="C188" t="s">
        <v>216</v>
      </c>
      <c r="D188" t="s">
        <v>1523</v>
      </c>
      <c r="E188" t="s">
        <v>1433</v>
      </c>
      <c r="F188" t="s">
        <v>1768</v>
      </c>
      <c r="G188" t="s">
        <v>1770</v>
      </c>
      <c r="H188" t="s">
        <v>1935</v>
      </c>
      <c r="I188" t="s">
        <v>1936</v>
      </c>
      <c r="J188" t="s">
        <v>2088</v>
      </c>
    </row>
    <row r="189" spans="1:10">
      <c r="A189" t="s">
        <v>1526</v>
      </c>
      <c r="B189" t="s">
        <v>1529</v>
      </c>
      <c r="C189" t="s">
        <v>216</v>
      </c>
      <c r="D189" t="s">
        <v>1527</v>
      </c>
      <c r="E189" t="s">
        <v>1060</v>
      </c>
      <c r="F189" t="s">
        <v>1771</v>
      </c>
      <c r="G189" t="s">
        <v>1769</v>
      </c>
      <c r="H189" t="s">
        <v>1937</v>
      </c>
      <c r="I189" t="s">
        <v>1247</v>
      </c>
      <c r="J189" t="s">
        <v>2088</v>
      </c>
    </row>
    <row r="190" spans="1:10">
      <c r="A190" t="s">
        <v>1530</v>
      </c>
      <c r="B190" t="s">
        <v>1509</v>
      </c>
      <c r="C190" t="s">
        <v>216</v>
      </c>
      <c r="D190" t="s">
        <v>1531</v>
      </c>
      <c r="E190" t="s">
        <v>1064</v>
      </c>
      <c r="F190" t="s">
        <v>1772</v>
      </c>
      <c r="G190" t="s">
        <v>1106</v>
      </c>
      <c r="H190" t="s">
        <v>1938</v>
      </c>
      <c r="I190" t="s">
        <v>676</v>
      </c>
      <c r="J190" t="s">
        <v>2088</v>
      </c>
    </row>
    <row r="191" spans="1:10">
      <c r="A191" t="s">
        <v>1532</v>
      </c>
      <c r="B191" t="s">
        <v>1534</v>
      </c>
      <c r="C191" t="s">
        <v>216</v>
      </c>
      <c r="D191" t="s">
        <v>1533</v>
      </c>
      <c r="E191" t="s">
        <v>1049</v>
      </c>
      <c r="F191" t="s">
        <v>1773</v>
      </c>
      <c r="G191" t="s">
        <v>1081</v>
      </c>
      <c r="H191" t="s">
        <v>1939</v>
      </c>
      <c r="I191" t="s">
        <v>332</v>
      </c>
      <c r="J191" t="s">
        <v>2088</v>
      </c>
    </row>
    <row r="192" spans="1:10">
      <c r="A192" t="s">
        <v>1535</v>
      </c>
      <c r="B192" t="s">
        <v>1538</v>
      </c>
      <c r="C192" t="s">
        <v>216</v>
      </c>
      <c r="D192" t="s">
        <v>1536</v>
      </c>
      <c r="E192" t="s">
        <v>354</v>
      </c>
      <c r="F192" t="s">
        <v>1774</v>
      </c>
      <c r="G192" t="s">
        <v>1733</v>
      </c>
      <c r="H192" t="s">
        <v>1940</v>
      </c>
      <c r="I192" t="s">
        <v>1224</v>
      </c>
      <c r="J192" t="s">
        <v>2088</v>
      </c>
    </row>
    <row r="193" spans="1:10">
      <c r="A193" t="s">
        <v>1539</v>
      </c>
      <c r="B193" t="s">
        <v>1541</v>
      </c>
      <c r="C193" t="s">
        <v>216</v>
      </c>
      <c r="D193" t="s">
        <v>1540</v>
      </c>
      <c r="E193" t="s">
        <v>1433</v>
      </c>
      <c r="F193" t="s">
        <v>1775</v>
      </c>
      <c r="G193" t="s">
        <v>1770</v>
      </c>
      <c r="H193" t="s">
        <v>1941</v>
      </c>
      <c r="I193" t="s">
        <v>1936</v>
      </c>
      <c r="J193" t="s">
        <v>2088</v>
      </c>
    </row>
    <row r="194" spans="1:10">
      <c r="A194" t="s">
        <v>1542</v>
      </c>
      <c r="B194" t="s">
        <v>1545</v>
      </c>
      <c r="C194" t="s">
        <v>216</v>
      </c>
      <c r="D194" t="s">
        <v>1543</v>
      </c>
      <c r="E194" t="s">
        <v>1088</v>
      </c>
      <c r="F194" t="s">
        <v>1776</v>
      </c>
      <c r="G194" t="s">
        <v>1056</v>
      </c>
      <c r="H194" t="s">
        <v>1942</v>
      </c>
      <c r="I194" t="s">
        <v>246</v>
      </c>
      <c r="J194" t="s">
        <v>2088</v>
      </c>
    </row>
    <row r="195" spans="1:10">
      <c r="A195" t="s">
        <v>1546</v>
      </c>
      <c r="B195" t="s">
        <v>1529</v>
      </c>
      <c r="C195" t="s">
        <v>216</v>
      </c>
      <c r="D195" t="s">
        <v>1547</v>
      </c>
      <c r="E195" t="s">
        <v>1060</v>
      </c>
      <c r="F195" t="s">
        <v>1777</v>
      </c>
      <c r="G195" t="s">
        <v>1769</v>
      </c>
      <c r="H195" t="s">
        <v>1943</v>
      </c>
      <c r="I195" t="s">
        <v>1247</v>
      </c>
      <c r="J195" t="s">
        <v>2088</v>
      </c>
    </row>
    <row r="196" spans="1:10">
      <c r="A196" t="s">
        <v>1548</v>
      </c>
      <c r="B196" t="s">
        <v>1551</v>
      </c>
      <c r="C196" t="s">
        <v>216</v>
      </c>
      <c r="D196" t="s">
        <v>1549</v>
      </c>
      <c r="E196" t="s">
        <v>361</v>
      </c>
      <c r="F196" t="s">
        <v>1778</v>
      </c>
      <c r="G196" t="s">
        <v>309</v>
      </c>
      <c r="H196" t="s">
        <v>1944</v>
      </c>
      <c r="I196" t="s">
        <v>432</v>
      </c>
      <c r="J196" t="s">
        <v>2088</v>
      </c>
    </row>
    <row r="197" spans="1:10">
      <c r="A197" t="s">
        <v>1552</v>
      </c>
      <c r="B197" t="s">
        <v>1551</v>
      </c>
      <c r="C197" t="s">
        <v>216</v>
      </c>
      <c r="D197" t="s">
        <v>1553</v>
      </c>
      <c r="E197" t="s">
        <v>361</v>
      </c>
      <c r="F197" t="s">
        <v>1779</v>
      </c>
      <c r="G197" t="s">
        <v>309</v>
      </c>
      <c r="H197" t="s">
        <v>1946</v>
      </c>
      <c r="I197" t="s">
        <v>432</v>
      </c>
      <c r="J197" t="s">
        <v>2088</v>
      </c>
    </row>
    <row r="198" spans="1:10">
      <c r="A198" t="s">
        <v>1554</v>
      </c>
      <c r="B198" t="s">
        <v>1557</v>
      </c>
      <c r="C198" t="s">
        <v>216</v>
      </c>
      <c r="D198" t="s">
        <v>1555</v>
      </c>
      <c r="E198" t="s">
        <v>367</v>
      </c>
      <c r="F198" t="s">
        <v>1780</v>
      </c>
      <c r="G198" t="s">
        <v>1136</v>
      </c>
      <c r="H198" t="s">
        <v>1947</v>
      </c>
      <c r="I198" t="s">
        <v>1898</v>
      </c>
      <c r="J198" t="s">
        <v>2088</v>
      </c>
    </row>
    <row r="199" spans="1:10">
      <c r="A199" t="s">
        <v>1558</v>
      </c>
      <c r="B199" t="s">
        <v>1561</v>
      </c>
      <c r="C199" t="s">
        <v>216</v>
      </c>
      <c r="D199" t="s">
        <v>1559</v>
      </c>
      <c r="E199" t="s">
        <v>350</v>
      </c>
      <c r="F199" t="s">
        <v>1781</v>
      </c>
      <c r="G199" t="s">
        <v>1737</v>
      </c>
      <c r="H199" t="s">
        <v>1948</v>
      </c>
      <c r="I199" t="s">
        <v>1220</v>
      </c>
      <c r="J199" t="s">
        <v>2088</v>
      </c>
    </row>
    <row r="200" spans="1:10">
      <c r="A200" t="s">
        <v>1562</v>
      </c>
      <c r="B200" t="s">
        <v>1565</v>
      </c>
      <c r="C200" t="s">
        <v>216</v>
      </c>
      <c r="D200" t="s">
        <v>1563</v>
      </c>
      <c r="E200" t="s">
        <v>260</v>
      </c>
      <c r="F200" t="s">
        <v>1782</v>
      </c>
      <c r="G200" t="s">
        <v>1132</v>
      </c>
      <c r="H200" t="s">
        <v>1950</v>
      </c>
      <c r="I200" t="s">
        <v>1231</v>
      </c>
      <c r="J200" t="s">
        <v>2088</v>
      </c>
    </row>
    <row r="201" spans="1:10">
      <c r="A201" t="s">
        <v>1566</v>
      </c>
      <c r="B201" t="s">
        <v>1569</v>
      </c>
      <c r="C201" t="s">
        <v>216</v>
      </c>
      <c r="D201" t="s">
        <v>1567</v>
      </c>
      <c r="E201" t="s">
        <v>1060</v>
      </c>
      <c r="F201" t="s">
        <v>1783</v>
      </c>
      <c r="G201" t="s">
        <v>1769</v>
      </c>
      <c r="H201" t="s">
        <v>1951</v>
      </c>
      <c r="I201" t="s">
        <v>1247</v>
      </c>
      <c r="J201" t="s">
        <v>2088</v>
      </c>
    </row>
    <row r="202" spans="1:10">
      <c r="A202" t="s">
        <v>1570</v>
      </c>
      <c r="B202" t="s">
        <v>1569</v>
      </c>
      <c r="C202" t="s">
        <v>216</v>
      </c>
      <c r="D202" t="s">
        <v>1571</v>
      </c>
      <c r="E202" t="s">
        <v>1060</v>
      </c>
      <c r="F202" t="s">
        <v>1784</v>
      </c>
      <c r="G202" t="s">
        <v>1769</v>
      </c>
      <c r="H202" t="s">
        <v>1953</v>
      </c>
      <c r="I202" t="s">
        <v>1247</v>
      </c>
      <c r="J202" t="s">
        <v>2088</v>
      </c>
    </row>
    <row r="203" spans="1:10">
      <c r="A203" t="s">
        <v>1572</v>
      </c>
      <c r="B203" t="s">
        <v>1575</v>
      </c>
      <c r="C203" t="s">
        <v>216</v>
      </c>
      <c r="D203" t="s">
        <v>1573</v>
      </c>
      <c r="E203" t="s">
        <v>367</v>
      </c>
      <c r="F203" t="s">
        <v>1785</v>
      </c>
      <c r="G203" t="s">
        <v>548</v>
      </c>
      <c r="H203" t="s">
        <v>1954</v>
      </c>
      <c r="I203" t="s">
        <v>1955</v>
      </c>
      <c r="J203" t="s">
        <v>2088</v>
      </c>
    </row>
    <row r="204" spans="1:10">
      <c r="A204" t="s">
        <v>1576</v>
      </c>
      <c r="B204" t="s">
        <v>1575</v>
      </c>
      <c r="C204" t="s">
        <v>216</v>
      </c>
      <c r="D204" t="s">
        <v>1577</v>
      </c>
      <c r="E204" t="s">
        <v>367</v>
      </c>
      <c r="F204" t="s">
        <v>1786</v>
      </c>
      <c r="G204" t="s">
        <v>548</v>
      </c>
      <c r="H204" t="s">
        <v>1956</v>
      </c>
      <c r="I204" t="s">
        <v>1955</v>
      </c>
      <c r="J204" t="s">
        <v>2088</v>
      </c>
    </row>
    <row r="205" spans="1:10">
      <c r="A205" t="s">
        <v>1578</v>
      </c>
      <c r="B205" t="s">
        <v>1581</v>
      </c>
      <c r="C205" t="s">
        <v>216</v>
      </c>
      <c r="D205" t="s">
        <v>1579</v>
      </c>
      <c r="E205" t="s">
        <v>1068</v>
      </c>
      <c r="F205" t="s">
        <v>1787</v>
      </c>
      <c r="G205" t="s">
        <v>545</v>
      </c>
      <c r="H205" t="s">
        <v>1957</v>
      </c>
      <c r="I205" t="s">
        <v>1207</v>
      </c>
      <c r="J205" t="s">
        <v>2088</v>
      </c>
    </row>
    <row r="206" spans="1:10">
      <c r="A206" t="s">
        <v>1582</v>
      </c>
      <c r="B206" t="s">
        <v>1585</v>
      </c>
      <c r="C206" t="s">
        <v>216</v>
      </c>
      <c r="D206" t="s">
        <v>1583</v>
      </c>
      <c r="E206" t="s">
        <v>1062</v>
      </c>
      <c r="F206" t="s">
        <v>1788</v>
      </c>
      <c r="G206" t="s">
        <v>1154</v>
      </c>
      <c r="H206" t="s">
        <v>1958</v>
      </c>
      <c r="I206" t="s">
        <v>1236</v>
      </c>
      <c r="J206" t="s">
        <v>2088</v>
      </c>
    </row>
    <row r="207" spans="1:10">
      <c r="A207" t="s">
        <v>1586</v>
      </c>
      <c r="B207" t="s">
        <v>1589</v>
      </c>
      <c r="C207" t="s">
        <v>216</v>
      </c>
      <c r="D207" t="s">
        <v>1587</v>
      </c>
      <c r="E207" t="s">
        <v>1083</v>
      </c>
      <c r="F207" t="s">
        <v>1789</v>
      </c>
      <c r="G207" t="s">
        <v>1173</v>
      </c>
      <c r="H207" t="s">
        <v>1959</v>
      </c>
      <c r="I207" t="s">
        <v>1960</v>
      </c>
      <c r="J207" t="s">
        <v>2088</v>
      </c>
    </row>
    <row r="208" spans="1:10">
      <c r="A208" t="s">
        <v>1590</v>
      </c>
      <c r="B208" t="s">
        <v>1593</v>
      </c>
      <c r="C208" t="s">
        <v>216</v>
      </c>
      <c r="D208" t="s">
        <v>1591</v>
      </c>
      <c r="E208" t="s">
        <v>1064</v>
      </c>
      <c r="F208" t="s">
        <v>1790</v>
      </c>
      <c r="G208" t="s">
        <v>1791</v>
      </c>
      <c r="H208" t="s">
        <v>1961</v>
      </c>
      <c r="I208" t="s">
        <v>1145</v>
      </c>
      <c r="J208" t="s">
        <v>2088</v>
      </c>
    </row>
    <row r="209" spans="1:10">
      <c r="A209" t="s">
        <v>1594</v>
      </c>
      <c r="B209" t="s">
        <v>1596</v>
      </c>
      <c r="C209" t="s">
        <v>216</v>
      </c>
      <c r="D209" t="s">
        <v>1595</v>
      </c>
      <c r="E209" t="s">
        <v>361</v>
      </c>
      <c r="F209" t="s">
        <v>1792</v>
      </c>
      <c r="G209" t="s">
        <v>1741</v>
      </c>
      <c r="H209" t="s">
        <v>1962</v>
      </c>
      <c r="I209" t="s">
        <v>1907</v>
      </c>
      <c r="J209" t="s">
        <v>2088</v>
      </c>
    </row>
    <row r="210" spans="1:10">
      <c r="A210" t="s">
        <v>1597</v>
      </c>
      <c r="B210" t="s">
        <v>1600</v>
      </c>
      <c r="C210" t="s">
        <v>216</v>
      </c>
      <c r="D210" t="s">
        <v>1598</v>
      </c>
      <c r="E210" t="s">
        <v>350</v>
      </c>
      <c r="F210" t="s">
        <v>1794</v>
      </c>
      <c r="G210" t="s">
        <v>1145</v>
      </c>
      <c r="H210" t="s">
        <v>1963</v>
      </c>
      <c r="I210" t="s">
        <v>1952</v>
      </c>
      <c r="J210" t="s">
        <v>2088</v>
      </c>
    </row>
    <row r="211" spans="1:10">
      <c r="A211" t="s">
        <v>1601</v>
      </c>
      <c r="B211" t="s">
        <v>1603</v>
      </c>
      <c r="C211" t="s">
        <v>216</v>
      </c>
      <c r="D211" t="s">
        <v>1602</v>
      </c>
      <c r="E211" t="s">
        <v>1062</v>
      </c>
      <c r="F211" t="s">
        <v>1795</v>
      </c>
      <c r="G211" t="s">
        <v>472</v>
      </c>
      <c r="H211" t="s">
        <v>1964</v>
      </c>
      <c r="I211" t="s">
        <v>631</v>
      </c>
      <c r="J211" t="s">
        <v>2088</v>
      </c>
    </row>
    <row r="212" spans="1:10">
      <c r="A212" t="s">
        <v>1604</v>
      </c>
      <c r="B212" t="s">
        <v>1607</v>
      </c>
      <c r="C212" t="s">
        <v>216</v>
      </c>
      <c r="D212" t="s">
        <v>1605</v>
      </c>
      <c r="E212" t="s">
        <v>380</v>
      </c>
      <c r="F212" t="s">
        <v>1796</v>
      </c>
      <c r="G212" t="s">
        <v>1193</v>
      </c>
      <c r="H212" t="s">
        <v>1965</v>
      </c>
      <c r="I212" t="s">
        <v>415</v>
      </c>
      <c r="J212" t="s">
        <v>2088</v>
      </c>
    </row>
    <row r="213" spans="1:10">
      <c r="A213" t="s">
        <v>1608</v>
      </c>
      <c r="B213" t="s">
        <v>1611</v>
      </c>
      <c r="C213" t="s">
        <v>216</v>
      </c>
      <c r="D213" t="s">
        <v>1610</v>
      </c>
      <c r="E213" t="s">
        <v>380</v>
      </c>
      <c r="F213" t="s">
        <v>1797</v>
      </c>
      <c r="G213" t="s">
        <v>1798</v>
      </c>
      <c r="H213" t="s">
        <v>1966</v>
      </c>
      <c r="I213" t="s">
        <v>1967</v>
      </c>
      <c r="J213" t="s">
        <v>2088</v>
      </c>
    </row>
    <row r="214" spans="1:10">
      <c r="A214" t="s">
        <v>1612</v>
      </c>
      <c r="B214" t="s">
        <v>1615</v>
      </c>
      <c r="C214" t="s">
        <v>216</v>
      </c>
      <c r="D214" t="s">
        <v>1614</v>
      </c>
      <c r="E214" t="s">
        <v>1056</v>
      </c>
      <c r="F214" t="s">
        <v>1799</v>
      </c>
      <c r="G214" t="s">
        <v>1800</v>
      </c>
      <c r="H214" t="s">
        <v>1968</v>
      </c>
      <c r="I214" t="s">
        <v>1927</v>
      </c>
      <c r="J214" t="s">
        <v>2088</v>
      </c>
    </row>
    <row r="215" spans="1:10">
      <c r="A215" t="s">
        <v>1616</v>
      </c>
      <c r="B215" t="s">
        <v>1619</v>
      </c>
      <c r="C215" t="s">
        <v>216</v>
      </c>
      <c r="D215" t="s">
        <v>1618</v>
      </c>
      <c r="E215" t="s">
        <v>293</v>
      </c>
      <c r="F215" t="s">
        <v>1801</v>
      </c>
      <c r="G215" t="s">
        <v>1156</v>
      </c>
      <c r="H215" t="s">
        <v>1970</v>
      </c>
      <c r="I215" t="s">
        <v>1245</v>
      </c>
      <c r="J215" t="s">
        <v>2088</v>
      </c>
    </row>
    <row r="216" spans="1:10">
      <c r="A216" t="s">
        <v>1620</v>
      </c>
      <c r="B216" t="s">
        <v>1623</v>
      </c>
      <c r="C216" t="s">
        <v>216</v>
      </c>
      <c r="D216" t="s">
        <v>1622</v>
      </c>
      <c r="E216" t="s">
        <v>246</v>
      </c>
      <c r="F216" t="s">
        <v>1802</v>
      </c>
      <c r="G216" t="s">
        <v>1803</v>
      </c>
      <c r="H216" t="s">
        <v>1971</v>
      </c>
      <c r="I216" t="s">
        <v>1922</v>
      </c>
      <c r="J216" t="s">
        <v>2088</v>
      </c>
    </row>
    <row r="217" spans="1:10">
      <c r="A217" t="s">
        <v>1624</v>
      </c>
      <c r="B217" t="s">
        <v>1628</v>
      </c>
      <c r="C217" t="s">
        <v>216</v>
      </c>
      <c r="D217" t="s">
        <v>1626</v>
      </c>
      <c r="E217" t="s">
        <v>1079</v>
      </c>
      <c r="F217" t="s">
        <v>1804</v>
      </c>
      <c r="G217" t="s">
        <v>1805</v>
      </c>
      <c r="H217" t="s">
        <v>1973</v>
      </c>
      <c r="I217" t="s">
        <v>1265</v>
      </c>
      <c r="J217" t="s">
        <v>2088</v>
      </c>
    </row>
    <row r="218" spans="1:10">
      <c r="A218" t="s">
        <v>1629</v>
      </c>
      <c r="B218" t="s">
        <v>271</v>
      </c>
      <c r="C218" t="s">
        <v>216</v>
      </c>
      <c r="D218" t="s">
        <v>1630</v>
      </c>
      <c r="E218" t="s">
        <v>1058</v>
      </c>
      <c r="F218" t="s">
        <v>1806</v>
      </c>
      <c r="G218" t="s">
        <v>1800</v>
      </c>
      <c r="H218" t="s">
        <v>1975</v>
      </c>
      <c r="I218" t="s">
        <v>1239</v>
      </c>
      <c r="J218" t="s">
        <v>2088</v>
      </c>
    </row>
    <row r="219" spans="1:10">
      <c r="A219" t="s">
        <v>1631</v>
      </c>
      <c r="B219" t="s">
        <v>1634</v>
      </c>
      <c r="C219" t="s">
        <v>216</v>
      </c>
      <c r="D219" t="s">
        <v>1633</v>
      </c>
      <c r="E219" t="s">
        <v>552</v>
      </c>
      <c r="F219" t="s">
        <v>1807</v>
      </c>
      <c r="G219" t="s">
        <v>537</v>
      </c>
      <c r="H219" t="s">
        <v>1976</v>
      </c>
      <c r="I219" t="s">
        <v>721</v>
      </c>
      <c r="J219" t="s">
        <v>2088</v>
      </c>
    </row>
    <row r="220" spans="1:10">
      <c r="A220" t="s">
        <v>1635</v>
      </c>
      <c r="B220" t="s">
        <v>1638</v>
      </c>
      <c r="C220" t="s">
        <v>216</v>
      </c>
      <c r="D220" t="s">
        <v>1637</v>
      </c>
      <c r="E220" t="s">
        <v>321</v>
      </c>
      <c r="F220" t="s">
        <v>1809</v>
      </c>
      <c r="G220" t="s">
        <v>872</v>
      </c>
      <c r="H220" t="s">
        <v>1977</v>
      </c>
      <c r="I220" t="s">
        <v>716</v>
      </c>
      <c r="J220" t="s">
        <v>2088</v>
      </c>
    </row>
    <row r="221" spans="1:10">
      <c r="A221" t="s">
        <v>115</v>
      </c>
      <c r="B221" t="s">
        <v>1642</v>
      </c>
      <c r="C221" t="s">
        <v>216</v>
      </c>
      <c r="D221" t="s">
        <v>1640</v>
      </c>
      <c r="E221" t="s">
        <v>1643</v>
      </c>
      <c r="F221" t="s">
        <v>1811</v>
      </c>
      <c r="G221" t="s">
        <v>1177</v>
      </c>
      <c r="H221" t="s">
        <v>1978</v>
      </c>
      <c r="I221" t="s">
        <v>1979</v>
      </c>
      <c r="J221" t="s">
        <v>2088</v>
      </c>
    </row>
    <row r="222" spans="1:10">
      <c r="A222" t="s">
        <v>1644</v>
      </c>
      <c r="B222" t="s">
        <v>1647</v>
      </c>
      <c r="C222" t="s">
        <v>216</v>
      </c>
      <c r="D222" t="s">
        <v>1646</v>
      </c>
      <c r="E222" t="s">
        <v>1094</v>
      </c>
      <c r="F222" t="s">
        <v>1813</v>
      </c>
      <c r="G222" t="s">
        <v>517</v>
      </c>
      <c r="H222" t="s">
        <v>1980</v>
      </c>
      <c r="I222" t="s">
        <v>610</v>
      </c>
      <c r="J222" t="s">
        <v>2088</v>
      </c>
    </row>
    <row r="223" spans="1:10">
      <c r="A223" t="s">
        <v>1648</v>
      </c>
      <c r="B223" t="s">
        <v>1651</v>
      </c>
      <c r="C223" t="s">
        <v>216</v>
      </c>
      <c r="D223" t="s">
        <v>1650</v>
      </c>
      <c r="E223" t="s">
        <v>347</v>
      </c>
      <c r="F223" t="s">
        <v>1814</v>
      </c>
      <c r="G223" t="s">
        <v>879</v>
      </c>
      <c r="H223" t="s">
        <v>1981</v>
      </c>
      <c r="I223" t="s">
        <v>647</v>
      </c>
      <c r="J223" t="s">
        <v>2088</v>
      </c>
    </row>
    <row r="224" spans="1:10">
      <c r="A224" t="s">
        <v>1408</v>
      </c>
      <c r="B224" t="s">
        <v>1411</v>
      </c>
      <c r="C224" t="s">
        <v>216</v>
      </c>
      <c r="D224" t="s">
        <v>1652</v>
      </c>
      <c r="E224" t="s">
        <v>1084</v>
      </c>
      <c r="F224" t="s">
        <v>1815</v>
      </c>
      <c r="G224" t="s">
        <v>1163</v>
      </c>
      <c r="H224" t="s">
        <v>1982</v>
      </c>
      <c r="I224" t="s">
        <v>364</v>
      </c>
      <c r="J224" t="s">
        <v>2088</v>
      </c>
    </row>
    <row r="225" spans="1:10">
      <c r="A225" t="s">
        <v>1412</v>
      </c>
      <c r="B225" t="s">
        <v>1415</v>
      </c>
      <c r="C225" t="s">
        <v>216</v>
      </c>
      <c r="D225" t="s">
        <v>1653</v>
      </c>
      <c r="E225" t="s">
        <v>1433</v>
      </c>
      <c r="F225" t="s">
        <v>1816</v>
      </c>
      <c r="G225" t="s">
        <v>260</v>
      </c>
      <c r="H225" t="s">
        <v>1983</v>
      </c>
      <c r="I225" t="s">
        <v>1770</v>
      </c>
      <c r="J225" t="s">
        <v>2088</v>
      </c>
    </row>
    <row r="226" spans="1:10">
      <c r="A226" t="s">
        <v>1416</v>
      </c>
      <c r="B226" t="s">
        <v>1419</v>
      </c>
      <c r="C226" t="s">
        <v>216</v>
      </c>
      <c r="D226" t="s">
        <v>1654</v>
      </c>
      <c r="E226" t="s">
        <v>1086</v>
      </c>
      <c r="F226" t="s">
        <v>1817</v>
      </c>
      <c r="G226" t="s">
        <v>1107</v>
      </c>
      <c r="H226" t="s">
        <v>1984</v>
      </c>
      <c r="I226" t="s">
        <v>1899</v>
      </c>
      <c r="J226" t="s">
        <v>2088</v>
      </c>
    </row>
    <row r="227" spans="1:10">
      <c r="A227" t="s">
        <v>1420</v>
      </c>
      <c r="B227" t="s">
        <v>1423</v>
      </c>
      <c r="C227" t="s">
        <v>216</v>
      </c>
      <c r="D227" t="s">
        <v>1655</v>
      </c>
      <c r="E227" t="s">
        <v>1088</v>
      </c>
      <c r="F227" t="s">
        <v>1818</v>
      </c>
      <c r="G227" t="s">
        <v>1730</v>
      </c>
      <c r="H227" t="s">
        <v>1985</v>
      </c>
      <c r="I227" t="s">
        <v>1936</v>
      </c>
      <c r="J227" t="s">
        <v>2088</v>
      </c>
    </row>
    <row r="228" spans="1:10">
      <c r="A228" t="s">
        <v>1424</v>
      </c>
      <c r="B228" t="s">
        <v>1426</v>
      </c>
      <c r="C228" t="s">
        <v>216</v>
      </c>
      <c r="D228" t="s">
        <v>1656</v>
      </c>
      <c r="E228" t="s">
        <v>1657</v>
      </c>
      <c r="F228" t="s">
        <v>1819</v>
      </c>
      <c r="G228" t="s">
        <v>1820</v>
      </c>
      <c r="H228" t="s">
        <v>1986</v>
      </c>
      <c r="I228" t="s">
        <v>359</v>
      </c>
      <c r="J228" t="s">
        <v>2088</v>
      </c>
    </row>
    <row r="229" spans="1:10">
      <c r="A229" t="s">
        <v>1427</v>
      </c>
      <c r="B229" t="s">
        <v>1426</v>
      </c>
      <c r="C229" t="s">
        <v>216</v>
      </c>
      <c r="D229" t="s">
        <v>1658</v>
      </c>
      <c r="E229" t="s">
        <v>1657</v>
      </c>
      <c r="F229" t="s">
        <v>1821</v>
      </c>
      <c r="G229" t="s">
        <v>1820</v>
      </c>
      <c r="H229" t="s">
        <v>1988</v>
      </c>
      <c r="I229" t="s">
        <v>359</v>
      </c>
      <c r="J229" t="s">
        <v>2088</v>
      </c>
    </row>
    <row r="230" spans="1:10">
      <c r="A230" t="s">
        <v>1429</v>
      </c>
      <c r="B230" t="s">
        <v>1432</v>
      </c>
      <c r="C230" t="s">
        <v>216</v>
      </c>
      <c r="D230" t="s">
        <v>1659</v>
      </c>
      <c r="E230" t="s">
        <v>1657</v>
      </c>
      <c r="F230" t="s">
        <v>1822</v>
      </c>
      <c r="G230" t="s">
        <v>1820</v>
      </c>
      <c r="H230" t="s">
        <v>1989</v>
      </c>
      <c r="I230" t="s">
        <v>359</v>
      </c>
      <c r="J230" t="s">
        <v>2088</v>
      </c>
    </row>
    <row r="231" spans="1:10">
      <c r="A231" t="s">
        <v>1434</v>
      </c>
      <c r="B231" t="s">
        <v>1432</v>
      </c>
      <c r="C231" t="s">
        <v>216</v>
      </c>
      <c r="D231" t="s">
        <v>1660</v>
      </c>
      <c r="E231" t="s">
        <v>1657</v>
      </c>
      <c r="F231" t="s">
        <v>1824</v>
      </c>
      <c r="G231" t="s">
        <v>1820</v>
      </c>
      <c r="H231" t="s">
        <v>1990</v>
      </c>
      <c r="I231" t="s">
        <v>359</v>
      </c>
      <c r="J231" t="s">
        <v>2088</v>
      </c>
    </row>
    <row r="232" spans="1:10">
      <c r="A232" t="s">
        <v>1436</v>
      </c>
      <c r="B232" t="s">
        <v>1439</v>
      </c>
      <c r="C232" t="s">
        <v>216</v>
      </c>
      <c r="D232" t="s">
        <v>1661</v>
      </c>
      <c r="E232" t="s">
        <v>1521</v>
      </c>
      <c r="F232" t="s">
        <v>1825</v>
      </c>
      <c r="G232" t="s">
        <v>1163</v>
      </c>
      <c r="H232" t="s">
        <v>1991</v>
      </c>
      <c r="I232" t="s">
        <v>1987</v>
      </c>
      <c r="J232" t="s">
        <v>2088</v>
      </c>
    </row>
    <row r="233" spans="1:10">
      <c r="A233" t="s">
        <v>1440</v>
      </c>
      <c r="B233" t="s">
        <v>1442</v>
      </c>
      <c r="C233" t="s">
        <v>216</v>
      </c>
      <c r="D233" t="s">
        <v>1662</v>
      </c>
      <c r="E233" t="s">
        <v>1084</v>
      </c>
      <c r="F233" t="s">
        <v>1826</v>
      </c>
      <c r="G233" t="s">
        <v>1823</v>
      </c>
      <c r="H233" t="s">
        <v>1992</v>
      </c>
      <c r="I233" t="s">
        <v>364</v>
      </c>
      <c r="J233" t="s">
        <v>2088</v>
      </c>
    </row>
    <row r="234" spans="1:10">
      <c r="A234" t="s">
        <v>1443</v>
      </c>
      <c r="B234" t="s">
        <v>1446</v>
      </c>
      <c r="C234" t="s">
        <v>216</v>
      </c>
      <c r="D234" t="s">
        <v>1663</v>
      </c>
      <c r="E234" t="s">
        <v>1086</v>
      </c>
      <c r="F234" t="s">
        <v>1827</v>
      </c>
      <c r="G234" t="s">
        <v>1107</v>
      </c>
      <c r="H234" t="s">
        <v>1993</v>
      </c>
      <c r="I234" t="s">
        <v>1899</v>
      </c>
      <c r="J234" t="s">
        <v>2088</v>
      </c>
    </row>
    <row r="235" spans="1:10">
      <c r="A235" t="s">
        <v>1447</v>
      </c>
      <c r="B235" t="s">
        <v>1450</v>
      </c>
      <c r="C235" t="s">
        <v>216</v>
      </c>
      <c r="D235" t="s">
        <v>1664</v>
      </c>
      <c r="E235" t="s">
        <v>1086</v>
      </c>
      <c r="F235" t="s">
        <v>1828</v>
      </c>
      <c r="G235" t="s">
        <v>1166</v>
      </c>
      <c r="H235" t="s">
        <v>1994</v>
      </c>
      <c r="I235" t="s">
        <v>1118</v>
      </c>
      <c r="J235" t="s">
        <v>2088</v>
      </c>
    </row>
    <row r="236" spans="1:10">
      <c r="A236" t="s">
        <v>1451</v>
      </c>
      <c r="B236" t="s">
        <v>1454</v>
      </c>
      <c r="C236" t="s">
        <v>216</v>
      </c>
      <c r="D236" t="s">
        <v>1665</v>
      </c>
      <c r="E236" t="s">
        <v>1088</v>
      </c>
      <c r="F236" t="s">
        <v>1829</v>
      </c>
      <c r="G236" t="s">
        <v>1730</v>
      </c>
      <c r="H236" t="s">
        <v>1995</v>
      </c>
      <c r="I236" t="s">
        <v>1936</v>
      </c>
      <c r="J236" t="s">
        <v>2088</v>
      </c>
    </row>
    <row r="237" spans="1:10">
      <c r="A237" t="s">
        <v>1455</v>
      </c>
      <c r="B237" t="s">
        <v>1459</v>
      </c>
      <c r="C237" t="s">
        <v>216</v>
      </c>
      <c r="D237" t="s">
        <v>1666</v>
      </c>
      <c r="E237" t="s">
        <v>1060</v>
      </c>
      <c r="F237" t="s">
        <v>1830</v>
      </c>
      <c r="G237" t="s">
        <v>1831</v>
      </c>
      <c r="H237" t="s">
        <v>1996</v>
      </c>
      <c r="I237" t="s">
        <v>246</v>
      </c>
      <c r="J237" t="s">
        <v>2088</v>
      </c>
    </row>
    <row r="238" spans="1:10">
      <c r="A238" t="s">
        <v>1460</v>
      </c>
      <c r="B238" t="s">
        <v>1463</v>
      </c>
      <c r="C238" t="s">
        <v>216</v>
      </c>
      <c r="D238" t="s">
        <v>1667</v>
      </c>
      <c r="E238" t="s">
        <v>367</v>
      </c>
      <c r="F238" t="s">
        <v>1832</v>
      </c>
      <c r="G238" t="s">
        <v>1733</v>
      </c>
      <c r="H238" t="s">
        <v>1997</v>
      </c>
      <c r="I238" t="s">
        <v>1247</v>
      </c>
      <c r="J238" t="s">
        <v>2088</v>
      </c>
    </row>
    <row r="239" spans="1:10">
      <c r="A239" t="s">
        <v>1464</v>
      </c>
      <c r="B239" t="s">
        <v>1467</v>
      </c>
      <c r="C239" t="s">
        <v>216</v>
      </c>
      <c r="D239" t="s">
        <v>1668</v>
      </c>
      <c r="E239" t="s">
        <v>260</v>
      </c>
      <c r="F239" t="s">
        <v>1833</v>
      </c>
      <c r="G239" t="s">
        <v>1791</v>
      </c>
      <c r="H239" t="s">
        <v>1998</v>
      </c>
      <c r="I239" t="s">
        <v>1504</v>
      </c>
      <c r="J239" t="s">
        <v>2088</v>
      </c>
    </row>
    <row r="240" spans="1:10">
      <c r="A240" t="s">
        <v>1468</v>
      </c>
      <c r="B240" t="s">
        <v>1459</v>
      </c>
      <c r="C240" t="s">
        <v>216</v>
      </c>
      <c r="D240" t="s">
        <v>1669</v>
      </c>
      <c r="E240" t="s">
        <v>1060</v>
      </c>
      <c r="F240" t="s">
        <v>1834</v>
      </c>
      <c r="G240" t="s">
        <v>1831</v>
      </c>
      <c r="H240" t="s">
        <v>1999</v>
      </c>
      <c r="I240" t="s">
        <v>246</v>
      </c>
      <c r="J240" t="s">
        <v>2088</v>
      </c>
    </row>
    <row r="241" spans="1:10">
      <c r="A241" t="s">
        <v>1470</v>
      </c>
      <c r="B241" t="s">
        <v>1450</v>
      </c>
      <c r="C241" t="s">
        <v>216</v>
      </c>
      <c r="D241" t="s">
        <v>1670</v>
      </c>
      <c r="E241" t="s">
        <v>1086</v>
      </c>
      <c r="F241" t="s">
        <v>1835</v>
      </c>
      <c r="G241" t="s">
        <v>1166</v>
      </c>
      <c r="H241" t="s">
        <v>2000</v>
      </c>
      <c r="I241" t="s">
        <v>1118</v>
      </c>
      <c r="J241" t="s">
        <v>2088</v>
      </c>
    </row>
    <row r="242" spans="1:10">
      <c r="A242" t="s">
        <v>1472</v>
      </c>
      <c r="B242" t="s">
        <v>1446</v>
      </c>
      <c r="C242" t="s">
        <v>216</v>
      </c>
      <c r="D242" t="s">
        <v>1671</v>
      </c>
      <c r="E242" t="s">
        <v>1086</v>
      </c>
      <c r="F242" t="s">
        <v>1836</v>
      </c>
      <c r="G242" t="s">
        <v>1107</v>
      </c>
      <c r="H242" t="s">
        <v>2001</v>
      </c>
      <c r="I242" t="s">
        <v>1899</v>
      </c>
      <c r="J242" t="s">
        <v>2088</v>
      </c>
    </row>
    <row r="243" spans="1:10">
      <c r="A243" t="s">
        <v>1474</v>
      </c>
      <c r="B243" t="s">
        <v>891</v>
      </c>
      <c r="C243" t="s">
        <v>216</v>
      </c>
      <c r="D243" t="s">
        <v>1672</v>
      </c>
      <c r="E243" t="s">
        <v>352</v>
      </c>
      <c r="F243" t="s">
        <v>1837</v>
      </c>
      <c r="G243" t="s">
        <v>1165</v>
      </c>
      <c r="H243" t="s">
        <v>2002</v>
      </c>
      <c r="I243" t="s">
        <v>1250</v>
      </c>
      <c r="J243" t="s">
        <v>2088</v>
      </c>
    </row>
    <row r="244" spans="1:10">
      <c r="A244" t="s">
        <v>1476</v>
      </c>
      <c r="B244" t="s">
        <v>1479</v>
      </c>
      <c r="C244" t="s">
        <v>216</v>
      </c>
      <c r="D244" t="s">
        <v>1673</v>
      </c>
      <c r="E244" t="s">
        <v>352</v>
      </c>
      <c r="F244" t="s">
        <v>1838</v>
      </c>
      <c r="G244" t="s">
        <v>1056</v>
      </c>
      <c r="H244" t="s">
        <v>2003</v>
      </c>
      <c r="I244" t="s">
        <v>220</v>
      </c>
      <c r="J244" t="s">
        <v>2088</v>
      </c>
    </row>
    <row r="245" spans="1:10">
      <c r="A245" t="s">
        <v>198</v>
      </c>
      <c r="B245" t="s">
        <v>891</v>
      </c>
      <c r="C245" t="s">
        <v>216</v>
      </c>
      <c r="D245" t="s">
        <v>1674</v>
      </c>
      <c r="E245" t="s">
        <v>352</v>
      </c>
      <c r="F245" t="s">
        <v>1839</v>
      </c>
      <c r="G245" t="s">
        <v>1165</v>
      </c>
      <c r="H245" t="s">
        <v>2004</v>
      </c>
      <c r="I245" t="s">
        <v>1250</v>
      </c>
      <c r="J245" t="s">
        <v>2088</v>
      </c>
    </row>
    <row r="246" spans="1:10">
      <c r="A246" t="s">
        <v>1481</v>
      </c>
      <c r="B246" t="s">
        <v>1484</v>
      </c>
      <c r="C246" t="s">
        <v>216</v>
      </c>
      <c r="D246" t="s">
        <v>1675</v>
      </c>
      <c r="E246" t="s">
        <v>258</v>
      </c>
      <c r="F246" t="s">
        <v>1840</v>
      </c>
      <c r="G246" t="s">
        <v>1129</v>
      </c>
      <c r="H246" t="s">
        <v>2005</v>
      </c>
      <c r="I246" t="s">
        <v>1220</v>
      </c>
      <c r="J246" t="s">
        <v>2088</v>
      </c>
    </row>
    <row r="247" spans="1:10">
      <c r="A247" t="s">
        <v>1485</v>
      </c>
      <c r="B247" t="s">
        <v>1488</v>
      </c>
      <c r="C247" t="s">
        <v>216</v>
      </c>
      <c r="D247" t="s">
        <v>1676</v>
      </c>
      <c r="E247" t="s">
        <v>1107</v>
      </c>
      <c r="F247" t="s">
        <v>1841</v>
      </c>
      <c r="G247" t="s">
        <v>545</v>
      </c>
      <c r="H247" t="s">
        <v>2006</v>
      </c>
      <c r="I247" t="s">
        <v>332</v>
      </c>
      <c r="J247" t="s">
        <v>2088</v>
      </c>
    </row>
    <row r="248" spans="1:10">
      <c r="A248" t="s">
        <v>1489</v>
      </c>
      <c r="B248" t="s">
        <v>1492</v>
      </c>
      <c r="C248" t="s">
        <v>216</v>
      </c>
      <c r="D248" t="s">
        <v>1677</v>
      </c>
      <c r="E248" t="s">
        <v>361</v>
      </c>
      <c r="F248" t="s">
        <v>1842</v>
      </c>
      <c r="G248" t="s">
        <v>1173</v>
      </c>
      <c r="H248" t="s">
        <v>2007</v>
      </c>
      <c r="I248" t="s">
        <v>1224</v>
      </c>
      <c r="J248" t="s">
        <v>2088</v>
      </c>
    </row>
    <row r="249" spans="1:10">
      <c r="A249" t="s">
        <v>1493</v>
      </c>
      <c r="B249" t="s">
        <v>1492</v>
      </c>
      <c r="C249" t="s">
        <v>216</v>
      </c>
      <c r="D249" t="s">
        <v>1678</v>
      </c>
      <c r="E249" t="s">
        <v>361</v>
      </c>
      <c r="F249" t="s">
        <v>1843</v>
      </c>
      <c r="G249" t="s">
        <v>1173</v>
      </c>
      <c r="H249" t="s">
        <v>2008</v>
      </c>
      <c r="I249" t="s">
        <v>1224</v>
      </c>
      <c r="J249" t="s">
        <v>2088</v>
      </c>
    </row>
    <row r="250" spans="1:10">
      <c r="A250" t="s">
        <v>1496</v>
      </c>
      <c r="B250" t="s">
        <v>1499</v>
      </c>
      <c r="C250" t="s">
        <v>216</v>
      </c>
      <c r="D250" t="s">
        <v>1679</v>
      </c>
      <c r="E250" t="s">
        <v>357</v>
      </c>
      <c r="F250" t="s">
        <v>1844</v>
      </c>
      <c r="G250" t="s">
        <v>234</v>
      </c>
      <c r="H250" t="s">
        <v>2009</v>
      </c>
      <c r="I250" t="s">
        <v>1207</v>
      </c>
      <c r="J250" t="s">
        <v>2088</v>
      </c>
    </row>
    <row r="251" spans="1:10">
      <c r="A251" t="s">
        <v>1500</v>
      </c>
      <c r="B251" t="s">
        <v>1467</v>
      </c>
      <c r="C251" t="s">
        <v>216</v>
      </c>
      <c r="D251" t="s">
        <v>1680</v>
      </c>
      <c r="E251" t="s">
        <v>260</v>
      </c>
      <c r="F251" t="s">
        <v>1845</v>
      </c>
      <c r="G251" t="s">
        <v>1791</v>
      </c>
      <c r="H251" t="s">
        <v>2010</v>
      </c>
      <c r="I251" t="s">
        <v>1504</v>
      </c>
      <c r="J251" t="s">
        <v>2088</v>
      </c>
    </row>
    <row r="252" spans="1:10">
      <c r="A252" t="s">
        <v>1502</v>
      </c>
      <c r="B252" t="s">
        <v>1506</v>
      </c>
      <c r="C252" t="s">
        <v>216</v>
      </c>
      <c r="D252" t="s">
        <v>1681</v>
      </c>
      <c r="E252" t="s">
        <v>270</v>
      </c>
      <c r="F252" t="s">
        <v>1846</v>
      </c>
      <c r="G252" t="s">
        <v>1504</v>
      </c>
      <c r="H252" t="s">
        <v>2011</v>
      </c>
      <c r="I252" t="s">
        <v>338</v>
      </c>
      <c r="J252" t="s">
        <v>2088</v>
      </c>
    </row>
    <row r="253" spans="1:10">
      <c r="A253" t="s">
        <v>1507</v>
      </c>
      <c r="B253" t="s">
        <v>1509</v>
      </c>
      <c r="C253" t="s">
        <v>216</v>
      </c>
      <c r="D253" t="s">
        <v>1682</v>
      </c>
      <c r="E253" t="s">
        <v>1086</v>
      </c>
      <c r="F253" t="s">
        <v>1847</v>
      </c>
      <c r="G253" t="s">
        <v>1107</v>
      </c>
      <c r="H253" t="s">
        <v>2013</v>
      </c>
      <c r="I253" t="s">
        <v>1899</v>
      </c>
      <c r="J253" t="s">
        <v>2088</v>
      </c>
    </row>
    <row r="254" spans="1:10">
      <c r="A254" t="s">
        <v>1510</v>
      </c>
      <c r="B254" t="s">
        <v>1512</v>
      </c>
      <c r="C254" t="s">
        <v>216</v>
      </c>
      <c r="D254" t="s">
        <v>1683</v>
      </c>
      <c r="E254" t="s">
        <v>1088</v>
      </c>
      <c r="F254" t="s">
        <v>1848</v>
      </c>
      <c r="G254" t="s">
        <v>1168</v>
      </c>
      <c r="H254" t="s">
        <v>2014</v>
      </c>
      <c r="I254" t="s">
        <v>1056</v>
      </c>
      <c r="J254" t="s">
        <v>2088</v>
      </c>
    </row>
    <row r="255" spans="1:10">
      <c r="A255" t="s">
        <v>1513</v>
      </c>
      <c r="B255" t="s">
        <v>1516</v>
      </c>
      <c r="C255" t="s">
        <v>216</v>
      </c>
      <c r="D255" t="s">
        <v>1684</v>
      </c>
      <c r="E255" t="s">
        <v>1685</v>
      </c>
      <c r="F255" t="s">
        <v>1849</v>
      </c>
      <c r="G255" t="s">
        <v>1850</v>
      </c>
      <c r="H255" t="s">
        <v>2015</v>
      </c>
      <c r="I255" t="s">
        <v>1062</v>
      </c>
      <c r="J255" t="s">
        <v>2088</v>
      </c>
    </row>
    <row r="256" spans="1:10">
      <c r="A256" t="s">
        <v>1517</v>
      </c>
      <c r="B256" t="s">
        <v>1520</v>
      </c>
      <c r="C256" t="s">
        <v>216</v>
      </c>
      <c r="D256" t="s">
        <v>1686</v>
      </c>
      <c r="E256" t="s">
        <v>1687</v>
      </c>
      <c r="F256" t="s">
        <v>1851</v>
      </c>
      <c r="G256" t="s">
        <v>1088</v>
      </c>
      <c r="H256" t="s">
        <v>2017</v>
      </c>
      <c r="I256" t="s">
        <v>2018</v>
      </c>
      <c r="J256" t="s">
        <v>2088</v>
      </c>
    </row>
    <row r="257" spans="1:10">
      <c r="A257" t="s">
        <v>1522</v>
      </c>
      <c r="B257" t="s">
        <v>1525</v>
      </c>
      <c r="C257" t="s">
        <v>216</v>
      </c>
      <c r="D257" t="s">
        <v>1688</v>
      </c>
      <c r="E257" t="s">
        <v>1657</v>
      </c>
      <c r="F257" t="s">
        <v>1852</v>
      </c>
      <c r="G257" t="s">
        <v>352</v>
      </c>
      <c r="H257" t="s">
        <v>2019</v>
      </c>
      <c r="I257" t="s">
        <v>2021</v>
      </c>
      <c r="J257" t="s">
        <v>2088</v>
      </c>
    </row>
    <row r="258" spans="1:10">
      <c r="A258" t="s">
        <v>1526</v>
      </c>
      <c r="B258" t="s">
        <v>1529</v>
      </c>
      <c r="C258" t="s">
        <v>216</v>
      </c>
      <c r="D258" t="s">
        <v>1689</v>
      </c>
      <c r="E258" t="s">
        <v>1084</v>
      </c>
      <c r="F258" t="s">
        <v>1853</v>
      </c>
      <c r="G258" t="s">
        <v>1823</v>
      </c>
      <c r="H258" t="s">
        <v>2022</v>
      </c>
      <c r="I258" t="s">
        <v>2020</v>
      </c>
      <c r="J258" t="s">
        <v>2088</v>
      </c>
    </row>
    <row r="259" spans="1:10">
      <c r="A259" t="s">
        <v>1530</v>
      </c>
      <c r="B259" t="s">
        <v>1509</v>
      </c>
      <c r="C259" t="s">
        <v>216</v>
      </c>
      <c r="D259" t="s">
        <v>1690</v>
      </c>
      <c r="E259" t="s">
        <v>1086</v>
      </c>
      <c r="F259" t="s">
        <v>1854</v>
      </c>
      <c r="G259" t="s">
        <v>1107</v>
      </c>
      <c r="H259" t="s">
        <v>2023</v>
      </c>
      <c r="I259" t="s">
        <v>1899</v>
      </c>
      <c r="J259" t="s">
        <v>2088</v>
      </c>
    </row>
    <row r="260" spans="1:10">
      <c r="A260" t="s">
        <v>1532</v>
      </c>
      <c r="B260" t="s">
        <v>1534</v>
      </c>
      <c r="C260" t="s">
        <v>216</v>
      </c>
      <c r="D260" t="s">
        <v>1691</v>
      </c>
      <c r="E260" t="s">
        <v>354</v>
      </c>
      <c r="F260" t="s">
        <v>1855</v>
      </c>
      <c r="G260" t="s">
        <v>1171</v>
      </c>
      <c r="H260" t="s">
        <v>2024</v>
      </c>
      <c r="I260" t="s">
        <v>1933</v>
      </c>
      <c r="J260" t="s">
        <v>2088</v>
      </c>
    </row>
    <row r="261" spans="1:10">
      <c r="A261" t="s">
        <v>1535</v>
      </c>
      <c r="B261" t="s">
        <v>1538</v>
      </c>
      <c r="C261" t="s">
        <v>216</v>
      </c>
      <c r="D261" t="s">
        <v>1692</v>
      </c>
      <c r="E261" t="s">
        <v>1084</v>
      </c>
      <c r="F261" t="s">
        <v>1856</v>
      </c>
      <c r="G261" t="s">
        <v>1163</v>
      </c>
      <c r="H261" t="s">
        <v>2025</v>
      </c>
      <c r="I261" t="s">
        <v>1987</v>
      </c>
      <c r="J261" t="s">
        <v>2088</v>
      </c>
    </row>
    <row r="262" spans="1:10">
      <c r="A262" t="s">
        <v>1539</v>
      </c>
      <c r="B262" t="s">
        <v>1541</v>
      </c>
      <c r="C262" t="s">
        <v>216</v>
      </c>
      <c r="D262" t="s">
        <v>1693</v>
      </c>
      <c r="E262" t="s">
        <v>1657</v>
      </c>
      <c r="F262" t="s">
        <v>1857</v>
      </c>
      <c r="G262" t="s">
        <v>352</v>
      </c>
      <c r="H262" t="s">
        <v>2026</v>
      </c>
      <c r="I262" t="s">
        <v>2021</v>
      </c>
      <c r="J262" t="s">
        <v>2088</v>
      </c>
    </row>
    <row r="263" spans="1:10">
      <c r="A263" t="s">
        <v>1542</v>
      </c>
      <c r="B263" t="s">
        <v>1545</v>
      </c>
      <c r="C263" t="s">
        <v>216</v>
      </c>
      <c r="D263" t="s">
        <v>1694</v>
      </c>
      <c r="E263" t="s">
        <v>1521</v>
      </c>
      <c r="F263" t="s">
        <v>1858</v>
      </c>
      <c r="G263" t="s">
        <v>1850</v>
      </c>
      <c r="H263" t="s">
        <v>2027</v>
      </c>
      <c r="I263" t="s">
        <v>1062</v>
      </c>
      <c r="J263" t="s">
        <v>2088</v>
      </c>
    </row>
    <row r="264" spans="1:10">
      <c r="A264" t="s">
        <v>1546</v>
      </c>
      <c r="B264" t="s">
        <v>1529</v>
      </c>
      <c r="C264" t="s">
        <v>216</v>
      </c>
      <c r="D264" t="s">
        <v>1695</v>
      </c>
      <c r="E264" t="s">
        <v>1084</v>
      </c>
      <c r="F264" t="s">
        <v>1859</v>
      </c>
      <c r="G264" t="s">
        <v>1823</v>
      </c>
      <c r="H264" t="s">
        <v>2028</v>
      </c>
      <c r="I264" t="s">
        <v>2020</v>
      </c>
      <c r="J264" t="s">
        <v>2088</v>
      </c>
    </row>
    <row r="265" spans="1:10">
      <c r="A265" t="s">
        <v>1548</v>
      </c>
      <c r="B265" t="s">
        <v>1551</v>
      </c>
      <c r="C265" t="s">
        <v>216</v>
      </c>
      <c r="D265" t="s">
        <v>1696</v>
      </c>
      <c r="E265" t="s">
        <v>1086</v>
      </c>
      <c r="F265" t="s">
        <v>1860</v>
      </c>
      <c r="G265" t="s">
        <v>1861</v>
      </c>
      <c r="H265" t="s">
        <v>2029</v>
      </c>
      <c r="I265" t="s">
        <v>1118</v>
      </c>
      <c r="J265" t="s">
        <v>2088</v>
      </c>
    </row>
    <row r="266" spans="1:10">
      <c r="A266" t="s">
        <v>1552</v>
      </c>
      <c r="B266" t="s">
        <v>1551</v>
      </c>
      <c r="C266" t="s">
        <v>216</v>
      </c>
      <c r="D266" t="s">
        <v>1697</v>
      </c>
      <c r="E266" t="s">
        <v>1086</v>
      </c>
      <c r="F266" t="s">
        <v>1862</v>
      </c>
      <c r="G266" t="s">
        <v>1861</v>
      </c>
      <c r="H266" t="s">
        <v>2030</v>
      </c>
      <c r="I266" t="s">
        <v>1118</v>
      </c>
      <c r="J266" t="s">
        <v>2088</v>
      </c>
    </row>
    <row r="267" spans="1:10">
      <c r="A267" t="s">
        <v>1554</v>
      </c>
      <c r="B267" t="s">
        <v>1557</v>
      </c>
      <c r="C267" t="s">
        <v>216</v>
      </c>
      <c r="D267" t="s">
        <v>1698</v>
      </c>
      <c r="E267" t="s">
        <v>1088</v>
      </c>
      <c r="F267" t="s">
        <v>1863</v>
      </c>
      <c r="G267" t="s">
        <v>1168</v>
      </c>
      <c r="H267" t="s">
        <v>2031</v>
      </c>
      <c r="I267" t="s">
        <v>1056</v>
      </c>
      <c r="J267" t="s">
        <v>2088</v>
      </c>
    </row>
    <row r="268" spans="1:10">
      <c r="A268" t="s">
        <v>1558</v>
      </c>
      <c r="B268" t="s">
        <v>1561</v>
      </c>
      <c r="C268" t="s">
        <v>216</v>
      </c>
      <c r="D268" t="s">
        <v>1699</v>
      </c>
      <c r="E268" t="s">
        <v>1083</v>
      </c>
      <c r="F268" t="s">
        <v>1864</v>
      </c>
      <c r="G268" t="s">
        <v>1770</v>
      </c>
      <c r="H268" t="s">
        <v>2032</v>
      </c>
      <c r="I268" t="s">
        <v>435</v>
      </c>
      <c r="J268" t="s">
        <v>2088</v>
      </c>
    </row>
    <row r="269" spans="1:10">
      <c r="A269" t="s">
        <v>1562</v>
      </c>
      <c r="B269" t="s">
        <v>1565</v>
      </c>
      <c r="C269" t="s">
        <v>216</v>
      </c>
      <c r="D269" t="s">
        <v>1700</v>
      </c>
      <c r="E269" t="s">
        <v>1060</v>
      </c>
      <c r="F269" t="s">
        <v>1865</v>
      </c>
      <c r="G269" t="s">
        <v>224</v>
      </c>
      <c r="H269" t="s">
        <v>2033</v>
      </c>
      <c r="I269" t="s">
        <v>246</v>
      </c>
      <c r="J269" t="s">
        <v>2088</v>
      </c>
    </row>
    <row r="270" spans="1:10">
      <c r="A270" t="s">
        <v>1566</v>
      </c>
      <c r="B270" t="s">
        <v>1569</v>
      </c>
      <c r="C270" t="s">
        <v>216</v>
      </c>
      <c r="D270" t="s">
        <v>1701</v>
      </c>
      <c r="E270" t="s">
        <v>1084</v>
      </c>
      <c r="F270" t="s">
        <v>1866</v>
      </c>
      <c r="G270" t="s">
        <v>1823</v>
      </c>
      <c r="H270" t="s">
        <v>2034</v>
      </c>
      <c r="I270" t="s">
        <v>2020</v>
      </c>
      <c r="J270" t="s">
        <v>2088</v>
      </c>
    </row>
    <row r="271" spans="1:10">
      <c r="A271" t="s">
        <v>1570</v>
      </c>
      <c r="B271" t="s">
        <v>1569</v>
      </c>
      <c r="C271" t="s">
        <v>216</v>
      </c>
      <c r="D271" t="s">
        <v>1702</v>
      </c>
      <c r="E271" t="s">
        <v>1084</v>
      </c>
      <c r="F271" t="s">
        <v>1867</v>
      </c>
      <c r="G271" t="s">
        <v>1823</v>
      </c>
      <c r="H271" t="s">
        <v>2035</v>
      </c>
      <c r="I271" t="s">
        <v>2020</v>
      </c>
      <c r="J271" t="s">
        <v>2088</v>
      </c>
    </row>
    <row r="272" spans="1:10">
      <c r="A272" t="s">
        <v>1572</v>
      </c>
      <c r="B272" t="s">
        <v>1575</v>
      </c>
      <c r="C272" t="s">
        <v>216</v>
      </c>
      <c r="D272" t="s">
        <v>1703</v>
      </c>
      <c r="E272" t="s">
        <v>1088</v>
      </c>
      <c r="F272" t="s">
        <v>1868</v>
      </c>
      <c r="G272" t="s">
        <v>1168</v>
      </c>
      <c r="H272" t="s">
        <v>2036</v>
      </c>
      <c r="I272" t="s">
        <v>1899</v>
      </c>
      <c r="J272" t="s">
        <v>2088</v>
      </c>
    </row>
    <row r="273" spans="1:10">
      <c r="A273" t="s">
        <v>1576</v>
      </c>
      <c r="B273" t="s">
        <v>1575</v>
      </c>
      <c r="C273" t="s">
        <v>216</v>
      </c>
      <c r="D273" t="s">
        <v>1704</v>
      </c>
      <c r="E273" t="s">
        <v>1088</v>
      </c>
      <c r="F273" t="s">
        <v>1869</v>
      </c>
      <c r="G273" t="s">
        <v>1168</v>
      </c>
      <c r="H273" t="s">
        <v>2037</v>
      </c>
      <c r="I273" t="s">
        <v>1899</v>
      </c>
      <c r="J273" t="s">
        <v>2088</v>
      </c>
    </row>
    <row r="274" spans="1:10">
      <c r="A274" t="s">
        <v>1578</v>
      </c>
      <c r="B274" t="s">
        <v>1581</v>
      </c>
      <c r="C274" t="s">
        <v>216</v>
      </c>
      <c r="D274" t="s">
        <v>1705</v>
      </c>
      <c r="E274" t="s">
        <v>1083</v>
      </c>
      <c r="F274" t="s">
        <v>1870</v>
      </c>
      <c r="G274" t="s">
        <v>264</v>
      </c>
      <c r="H274" t="s">
        <v>2038</v>
      </c>
      <c r="I274" t="s">
        <v>1248</v>
      </c>
      <c r="J274" t="s">
        <v>2088</v>
      </c>
    </row>
    <row r="275" spans="1:10">
      <c r="A275" t="s">
        <v>1582</v>
      </c>
      <c r="B275" t="s">
        <v>1585</v>
      </c>
      <c r="C275" t="s">
        <v>216</v>
      </c>
      <c r="D275" t="s">
        <v>1706</v>
      </c>
      <c r="E275" t="s">
        <v>1060</v>
      </c>
      <c r="F275" t="s">
        <v>1871</v>
      </c>
      <c r="G275" t="s">
        <v>1165</v>
      </c>
      <c r="H275" t="s">
        <v>2039</v>
      </c>
      <c r="I275" t="s">
        <v>1960</v>
      </c>
      <c r="J275" t="s">
        <v>2088</v>
      </c>
    </row>
    <row r="276" spans="1:10">
      <c r="A276" t="s">
        <v>1586</v>
      </c>
      <c r="B276" t="s">
        <v>1589</v>
      </c>
      <c r="C276" t="s">
        <v>216</v>
      </c>
      <c r="D276" t="s">
        <v>1707</v>
      </c>
      <c r="E276" t="s">
        <v>1521</v>
      </c>
      <c r="F276" t="s">
        <v>1872</v>
      </c>
      <c r="G276" t="s">
        <v>359</v>
      </c>
      <c r="H276" t="s">
        <v>2040</v>
      </c>
      <c r="I276" t="s">
        <v>1166</v>
      </c>
      <c r="J276" t="s">
        <v>2088</v>
      </c>
    </row>
    <row r="277" spans="1:10">
      <c r="A277" t="s">
        <v>1590</v>
      </c>
      <c r="B277" t="s">
        <v>1593</v>
      </c>
      <c r="C277" t="s">
        <v>216</v>
      </c>
      <c r="D277" t="s">
        <v>1708</v>
      </c>
      <c r="E277" t="s">
        <v>1086</v>
      </c>
      <c r="F277" t="s">
        <v>1873</v>
      </c>
      <c r="G277" t="s">
        <v>1166</v>
      </c>
      <c r="H277" t="s">
        <v>2041</v>
      </c>
      <c r="I277" t="s">
        <v>2016</v>
      </c>
      <c r="J277" t="s">
        <v>2088</v>
      </c>
    </row>
    <row r="278" spans="1:10">
      <c r="A278" t="s">
        <v>1594</v>
      </c>
      <c r="B278" t="s">
        <v>1596</v>
      </c>
      <c r="C278" t="s">
        <v>216</v>
      </c>
      <c r="D278" t="s">
        <v>1709</v>
      </c>
      <c r="E278" t="s">
        <v>1086</v>
      </c>
      <c r="F278" t="s">
        <v>1874</v>
      </c>
      <c r="G278" t="s">
        <v>1166</v>
      </c>
      <c r="H278" t="s">
        <v>2042</v>
      </c>
      <c r="I278" t="s">
        <v>2016</v>
      </c>
      <c r="J278" t="s">
        <v>2088</v>
      </c>
    </row>
    <row r="279" spans="1:10">
      <c r="A279" t="s">
        <v>1597</v>
      </c>
      <c r="B279" t="s">
        <v>1600</v>
      </c>
      <c r="C279" t="s">
        <v>216</v>
      </c>
      <c r="D279" t="s">
        <v>1710</v>
      </c>
      <c r="E279" t="s">
        <v>354</v>
      </c>
      <c r="F279" t="s">
        <v>1875</v>
      </c>
      <c r="G279" t="s">
        <v>1171</v>
      </c>
      <c r="H279" t="s">
        <v>2043</v>
      </c>
      <c r="I279" t="s">
        <v>1162</v>
      </c>
      <c r="J279" t="s">
        <v>2088</v>
      </c>
    </row>
    <row r="280" spans="1:10">
      <c r="A280" t="s">
        <v>1601</v>
      </c>
      <c r="B280" t="s">
        <v>1603</v>
      </c>
      <c r="C280" t="s">
        <v>216</v>
      </c>
      <c r="D280" t="s">
        <v>1711</v>
      </c>
      <c r="E280" t="s">
        <v>352</v>
      </c>
      <c r="F280" t="s">
        <v>1876</v>
      </c>
      <c r="G280" t="s">
        <v>1165</v>
      </c>
      <c r="H280" t="s">
        <v>2044</v>
      </c>
      <c r="I280" t="s">
        <v>1250</v>
      </c>
      <c r="J280" t="s">
        <v>2088</v>
      </c>
    </row>
    <row r="281" spans="1:10">
      <c r="A281" t="s">
        <v>1604</v>
      </c>
      <c r="B281" t="s">
        <v>1607</v>
      </c>
      <c r="C281" t="s">
        <v>216</v>
      </c>
      <c r="D281" t="s">
        <v>1712</v>
      </c>
      <c r="E281" t="s">
        <v>359</v>
      </c>
      <c r="F281" t="s">
        <v>1877</v>
      </c>
      <c r="G281" t="s">
        <v>236</v>
      </c>
      <c r="H281" t="s">
        <v>2045</v>
      </c>
      <c r="I281" t="s">
        <v>458</v>
      </c>
      <c r="J281" t="s">
        <v>2088</v>
      </c>
    </row>
    <row r="282" spans="1:10">
      <c r="A282" t="s">
        <v>1608</v>
      </c>
      <c r="B282" t="s">
        <v>1611</v>
      </c>
      <c r="C282" t="s">
        <v>216</v>
      </c>
      <c r="D282" t="s">
        <v>1713</v>
      </c>
      <c r="E282" t="s">
        <v>359</v>
      </c>
      <c r="F282" t="s">
        <v>1878</v>
      </c>
      <c r="G282" t="s">
        <v>1730</v>
      </c>
      <c r="H282" t="s">
        <v>2046</v>
      </c>
      <c r="I282" t="s">
        <v>1936</v>
      </c>
      <c r="J282" t="s">
        <v>2088</v>
      </c>
    </row>
    <row r="283" spans="1:10">
      <c r="A283" t="s">
        <v>1612</v>
      </c>
      <c r="B283" t="s">
        <v>1615</v>
      </c>
      <c r="C283" t="s">
        <v>216</v>
      </c>
      <c r="D283" t="s">
        <v>1714</v>
      </c>
      <c r="E283" t="s">
        <v>1062</v>
      </c>
      <c r="F283" t="s">
        <v>1879</v>
      </c>
      <c r="G283" t="s">
        <v>1165</v>
      </c>
      <c r="H283" t="s">
        <v>2047</v>
      </c>
      <c r="I283" t="s">
        <v>1250</v>
      </c>
      <c r="J283" t="s">
        <v>2088</v>
      </c>
    </row>
    <row r="284" spans="1:10">
      <c r="A284" t="s">
        <v>1616</v>
      </c>
      <c r="B284" t="s">
        <v>1619</v>
      </c>
      <c r="C284" t="s">
        <v>216</v>
      </c>
      <c r="D284" t="s">
        <v>1715</v>
      </c>
      <c r="E284" t="s">
        <v>1062</v>
      </c>
      <c r="F284" t="s">
        <v>1880</v>
      </c>
      <c r="G284" t="s">
        <v>1056</v>
      </c>
      <c r="H284" t="s">
        <v>2048</v>
      </c>
      <c r="I284" t="s">
        <v>1250</v>
      </c>
      <c r="J284" t="s">
        <v>2088</v>
      </c>
    </row>
    <row r="285" spans="1:10">
      <c r="A285" t="s">
        <v>1620</v>
      </c>
      <c r="B285" t="s">
        <v>1623</v>
      </c>
      <c r="C285" t="s">
        <v>216</v>
      </c>
      <c r="D285" t="s">
        <v>1716</v>
      </c>
      <c r="E285" t="s">
        <v>380</v>
      </c>
      <c r="F285" t="s">
        <v>1881</v>
      </c>
      <c r="G285" t="s">
        <v>236</v>
      </c>
      <c r="H285" t="s">
        <v>2049</v>
      </c>
      <c r="I285" t="s">
        <v>458</v>
      </c>
      <c r="J285" t="s">
        <v>2088</v>
      </c>
    </row>
    <row r="286" spans="1:10">
      <c r="A286" t="s">
        <v>1624</v>
      </c>
      <c r="B286" t="s">
        <v>1628</v>
      </c>
      <c r="C286" t="s">
        <v>216</v>
      </c>
      <c r="D286" t="s">
        <v>1717</v>
      </c>
      <c r="E286" t="s">
        <v>222</v>
      </c>
      <c r="F286" t="s">
        <v>1882</v>
      </c>
      <c r="G286" t="s">
        <v>1140</v>
      </c>
      <c r="H286" t="s">
        <v>2050</v>
      </c>
      <c r="I286" t="s">
        <v>672</v>
      </c>
      <c r="J286" t="s">
        <v>2088</v>
      </c>
    </row>
    <row r="287" spans="1:10">
      <c r="A287" t="s">
        <v>1629</v>
      </c>
      <c r="B287" t="s">
        <v>271</v>
      </c>
      <c r="C287" t="s">
        <v>216</v>
      </c>
      <c r="D287" t="s">
        <v>1718</v>
      </c>
      <c r="E287" t="s">
        <v>272</v>
      </c>
      <c r="F287" t="s">
        <v>1883</v>
      </c>
      <c r="G287" t="s">
        <v>268</v>
      </c>
      <c r="H287" t="s">
        <v>2051</v>
      </c>
      <c r="I287" t="s">
        <v>1106</v>
      </c>
      <c r="J287" t="s">
        <v>2088</v>
      </c>
    </row>
    <row r="288" spans="1:10">
      <c r="A288" t="s">
        <v>1631</v>
      </c>
      <c r="B288" t="s">
        <v>1634</v>
      </c>
      <c r="C288" t="s">
        <v>216</v>
      </c>
      <c r="D288" t="s">
        <v>1719</v>
      </c>
      <c r="E288" t="s">
        <v>248</v>
      </c>
      <c r="F288" t="s">
        <v>1884</v>
      </c>
      <c r="G288" t="s">
        <v>1129</v>
      </c>
      <c r="H288" t="s">
        <v>2052</v>
      </c>
      <c r="I288" t="s">
        <v>1220</v>
      </c>
      <c r="J288" t="s">
        <v>2088</v>
      </c>
    </row>
    <row r="289" spans="1:10">
      <c r="A289" t="s">
        <v>1635</v>
      </c>
      <c r="B289" t="s">
        <v>1638</v>
      </c>
      <c r="C289" t="s">
        <v>216</v>
      </c>
      <c r="D289" t="s">
        <v>1720</v>
      </c>
      <c r="E289" t="s">
        <v>1106</v>
      </c>
      <c r="F289" t="s">
        <v>1885</v>
      </c>
      <c r="G289" t="s">
        <v>1139</v>
      </c>
      <c r="H289" t="s">
        <v>2053</v>
      </c>
      <c r="I289" t="s">
        <v>636</v>
      </c>
      <c r="J289" t="s">
        <v>2088</v>
      </c>
    </row>
    <row r="290" spans="1:10">
      <c r="A290" t="s">
        <v>115</v>
      </c>
      <c r="B290" t="s">
        <v>1642</v>
      </c>
      <c r="C290" t="s">
        <v>216</v>
      </c>
      <c r="D290" t="s">
        <v>1721</v>
      </c>
      <c r="E290" t="s">
        <v>347</v>
      </c>
      <c r="F290" t="s">
        <v>1887</v>
      </c>
      <c r="G290" t="s">
        <v>636</v>
      </c>
      <c r="H290" t="s">
        <v>2055</v>
      </c>
      <c r="I290" t="s">
        <v>527</v>
      </c>
      <c r="J290" t="s">
        <v>2088</v>
      </c>
    </row>
    <row r="291" spans="1:10">
      <c r="A291" t="s">
        <v>1644</v>
      </c>
      <c r="B291" t="s">
        <v>1647</v>
      </c>
      <c r="C291" t="s">
        <v>216</v>
      </c>
      <c r="D291" t="s">
        <v>1722</v>
      </c>
      <c r="E291" t="s">
        <v>332</v>
      </c>
      <c r="F291" t="s">
        <v>1888</v>
      </c>
      <c r="G291" t="s">
        <v>1192</v>
      </c>
      <c r="H291" t="s">
        <v>2056</v>
      </c>
      <c r="I291" t="s">
        <v>607</v>
      </c>
      <c r="J291" t="s">
        <v>2088</v>
      </c>
    </row>
    <row r="292" spans="1:10">
      <c r="A292" t="s">
        <v>1648</v>
      </c>
      <c r="B292" t="s">
        <v>1651</v>
      </c>
      <c r="C292" t="s">
        <v>216</v>
      </c>
      <c r="D292" t="s">
        <v>1723</v>
      </c>
      <c r="E292" t="s">
        <v>386</v>
      </c>
      <c r="F292" t="s">
        <v>1890</v>
      </c>
      <c r="G292" t="s">
        <v>1504</v>
      </c>
      <c r="H292" t="s">
        <v>2058</v>
      </c>
      <c r="I292" t="s">
        <v>1919</v>
      </c>
      <c r="J292" t="s">
        <v>2088</v>
      </c>
    </row>
  </sheetData>
  <phoneticPr fontId="7"/>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A4BBE-F31E-490A-B73B-33A3DB39F1CF}">
  <sheetPr codeName="Sheet12">
    <tabColor rgb="FF00FF00"/>
  </sheetPr>
  <dimension ref="A1:C16"/>
  <sheetViews>
    <sheetView workbookViewId="0">
      <selection activeCell="C14" sqref="C14"/>
    </sheetView>
  </sheetViews>
  <sheetFormatPr defaultRowHeight="18.75"/>
  <cols>
    <col min="1" max="1" width="16.25" customWidth="1"/>
    <col min="2" max="2" width="79.875" customWidth="1"/>
    <col min="3" max="3" width="51.75" style="175" customWidth="1"/>
    <col min="4" max="4" width="3.125" customWidth="1"/>
  </cols>
  <sheetData>
    <row r="1" spans="1:3" ht="21">
      <c r="A1" s="173" t="s">
        <v>2192</v>
      </c>
      <c r="C1" s="174"/>
    </row>
    <row r="2" spans="1:3" ht="19.5" thickBot="1"/>
    <row r="3" spans="1:3">
      <c r="A3" s="40" t="s">
        <v>17</v>
      </c>
      <c r="B3" s="176" t="s">
        <v>2193</v>
      </c>
      <c r="C3" s="177"/>
    </row>
    <row r="4" spans="1:3">
      <c r="A4" s="42" t="s">
        <v>18</v>
      </c>
      <c r="B4" s="43"/>
      <c r="C4" s="178"/>
    </row>
    <row r="5" spans="1:3">
      <c r="A5" s="42" t="s">
        <v>19</v>
      </c>
      <c r="B5" s="43" t="s">
        <v>2194</v>
      </c>
      <c r="C5" s="178"/>
    </row>
    <row r="6" spans="1:3" ht="19.5" thickBot="1">
      <c r="A6" s="44" t="s">
        <v>20</v>
      </c>
      <c r="B6" s="45"/>
      <c r="C6" s="179"/>
    </row>
    <row r="7" spans="1:3">
      <c r="A7" s="40" t="s">
        <v>21</v>
      </c>
      <c r="B7" s="46"/>
      <c r="C7" s="177"/>
    </row>
    <row r="8" spans="1:3">
      <c r="A8" s="42" t="s">
        <v>22</v>
      </c>
      <c r="B8" s="47"/>
      <c r="C8" s="178"/>
    </row>
    <row r="9" spans="1:3" ht="19.5" thickBot="1">
      <c r="A9" s="44" t="s">
        <v>23</v>
      </c>
      <c r="B9" s="48"/>
      <c r="C9" s="179"/>
    </row>
    <row r="10" spans="1:3" ht="48" thickBot="1">
      <c r="A10" s="49" t="s">
        <v>24</v>
      </c>
      <c r="B10" s="165" t="str">
        <f ca="1">"【i-Proケアパック】アイプロケアパック契約状況をお知らせ(" &amp; TEXT(EOMONTH(TODAY(), -1), "yyyy年mm月dd日") &amp; "現在)・定期消耗品交換対応のお願い"</f>
        <v>【i-Proケアパック】アイプロケアパック契約状況をお知らせ(2025年06月30日現在)・定期消耗品交換対応のお願い</v>
      </c>
      <c r="C10" s="180" t="s">
        <v>2195</v>
      </c>
    </row>
    <row r="11" spans="1:3">
      <c r="A11" s="40" t="s">
        <v>25</v>
      </c>
      <c r="B11" s="181"/>
      <c r="C11" s="177" t="s">
        <v>2196</v>
      </c>
    </row>
    <row r="12" spans="1:3" ht="56.25">
      <c r="A12" s="42" t="s">
        <v>26</v>
      </c>
      <c r="B12" s="167" t="s">
        <v>2197</v>
      </c>
      <c r="C12" s="182"/>
    </row>
    <row r="13" spans="1:3" ht="31.5">
      <c r="A13" s="42" t="s">
        <v>27</v>
      </c>
      <c r="B13" s="167" t="str">
        <f ca="1">TEXT(EOMONTH(TODAY(), -1), "yyyy年mm月dd日") &amp; "でのアイプロケアパック契約状況をお知らせ致します。"</f>
        <v>2025年06月30日でのアイプロケアパック契約状況をお知らせ致します。</v>
      </c>
      <c r="C13" s="182" t="s">
        <v>2198</v>
      </c>
    </row>
    <row r="14" spans="1:3" ht="262.5">
      <c r="A14" s="42" t="s">
        <v>28</v>
      </c>
      <c r="B14" s="167" t="s">
        <v>2199</v>
      </c>
      <c r="C14" s="178"/>
    </row>
    <row r="15" spans="1:3">
      <c r="A15" s="42" t="s">
        <v>29</v>
      </c>
      <c r="B15" s="167"/>
      <c r="C15" s="183"/>
    </row>
    <row r="16" spans="1:3" ht="113.25" thickBot="1">
      <c r="A16" s="52" t="s">
        <v>30</v>
      </c>
      <c r="B16" s="168" t="s">
        <v>2200</v>
      </c>
      <c r="C16" s="184"/>
    </row>
  </sheetData>
  <phoneticPr fontId="7"/>
  <hyperlinks>
    <hyperlink ref="B5" r:id="rId1" xr:uid="{AC29A376-0084-4739-A4D0-3BA42D548999}"/>
  </hyperlinks>
  <pageMargins left="0.7" right="0.7" top="0.75" bottom="0.75" header="0.3" footer="0.3"/>
  <pageSetup paperSize="9" scale="3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C152C-0AD5-4707-97F7-6D18B06169BB}">
  <sheetPr codeName="Sheet13">
    <tabColor theme="1"/>
  </sheetPr>
  <dimension ref="A1:H14"/>
  <sheetViews>
    <sheetView workbookViewId="0">
      <pane ySplit="1" topLeftCell="A8" activePane="bottomLeft" state="frozen"/>
      <selection pane="bottomLeft" activeCell="D13" sqref="D13"/>
    </sheetView>
  </sheetViews>
  <sheetFormatPr defaultRowHeight="18.75"/>
  <cols>
    <col min="1" max="1" width="4.375" bestFit="1" customWidth="1"/>
    <col min="2" max="2" width="27.625" bestFit="1" customWidth="1"/>
    <col min="3" max="3" width="35.25" bestFit="1" customWidth="1"/>
    <col min="4" max="4" width="55.75" style="154" customWidth="1"/>
    <col min="5" max="5" width="4.125" customWidth="1"/>
    <col min="6" max="6" width="27.625" bestFit="1" customWidth="1"/>
    <col min="7" max="8" width="25.75" customWidth="1"/>
  </cols>
  <sheetData>
    <row r="1" spans="1:8" ht="21.75" thickBot="1">
      <c r="A1" s="1" t="s">
        <v>2201</v>
      </c>
      <c r="B1" s="2"/>
      <c r="C1" s="2"/>
      <c r="D1" s="185"/>
      <c r="E1" s="2"/>
      <c r="F1" s="186" t="s">
        <v>2202</v>
      </c>
      <c r="G1" s="2"/>
      <c r="H1" s="2"/>
    </row>
    <row r="2" spans="1:8" ht="19.5" thickBot="1">
      <c r="A2" s="187" t="s">
        <v>2203</v>
      </c>
      <c r="B2" s="188" t="s">
        <v>2204</v>
      </c>
      <c r="C2" s="188" t="s">
        <v>2205</v>
      </c>
      <c r="D2" s="189" t="s">
        <v>18</v>
      </c>
      <c r="E2" s="190" t="s">
        <v>2206</v>
      </c>
      <c r="F2" s="190" t="s">
        <v>2207</v>
      </c>
      <c r="G2" s="190" t="s">
        <v>2208</v>
      </c>
      <c r="H2" s="191" t="s">
        <v>2209</v>
      </c>
    </row>
    <row r="3" spans="1:8" ht="38.25" thickBot="1">
      <c r="A3" s="233" t="s">
        <v>2378</v>
      </c>
      <c r="B3" s="225" t="s">
        <v>2341</v>
      </c>
      <c r="C3" s="193" t="s">
        <v>2364</v>
      </c>
      <c r="D3" s="194" t="s">
        <v>2390</v>
      </c>
      <c r="E3" s="195"/>
      <c r="F3" s="195" t="s">
        <v>2210</v>
      </c>
      <c r="G3" s="196" t="s">
        <v>2211</v>
      </c>
      <c r="H3" s="197" t="s">
        <v>2212</v>
      </c>
    </row>
    <row r="4" spans="1:8" ht="57" thickBot="1">
      <c r="A4" s="233" t="s">
        <v>2379</v>
      </c>
      <c r="B4" s="225" t="s">
        <v>2333</v>
      </c>
      <c r="C4" s="198" t="s">
        <v>2345</v>
      </c>
      <c r="D4" s="195" t="s">
        <v>2391</v>
      </c>
      <c r="E4" s="196"/>
      <c r="F4" s="196" t="s">
        <v>2213</v>
      </c>
      <c r="G4" s="196" t="s">
        <v>2214</v>
      </c>
      <c r="H4" s="197" t="s">
        <v>2215</v>
      </c>
    </row>
    <row r="5" spans="1:8" ht="57" thickBot="1">
      <c r="A5" s="233" t="s">
        <v>2380</v>
      </c>
      <c r="B5" s="225" t="s">
        <v>2334</v>
      </c>
      <c r="C5" s="198" t="s">
        <v>2216</v>
      </c>
      <c r="D5" s="195" t="s">
        <v>2392</v>
      </c>
      <c r="E5" s="196"/>
      <c r="F5" s="196" t="s">
        <v>2217</v>
      </c>
      <c r="G5" s="196" t="s">
        <v>2218</v>
      </c>
      <c r="H5" s="197" t="s">
        <v>2219</v>
      </c>
    </row>
    <row r="6" spans="1:8" ht="57" thickBot="1">
      <c r="A6" s="233" t="s">
        <v>2381</v>
      </c>
      <c r="B6" s="225" t="s">
        <v>2344</v>
      </c>
      <c r="C6" s="198" t="s">
        <v>2220</v>
      </c>
      <c r="D6" s="195" t="s">
        <v>2393</v>
      </c>
      <c r="E6" s="196"/>
      <c r="F6" s="196" t="s">
        <v>2217</v>
      </c>
      <c r="G6" s="196" t="s">
        <v>2218</v>
      </c>
      <c r="H6" s="197" t="s">
        <v>2221</v>
      </c>
    </row>
    <row r="7" spans="1:8" ht="75.75" thickBot="1">
      <c r="A7" s="233" t="s">
        <v>2382</v>
      </c>
      <c r="B7" s="225" t="s">
        <v>2335</v>
      </c>
      <c r="C7" s="198" t="s">
        <v>2377</v>
      </c>
      <c r="D7" s="195" t="s">
        <v>2394</v>
      </c>
      <c r="E7" s="196"/>
      <c r="F7" s="196" t="s">
        <v>2222</v>
      </c>
      <c r="G7" s="195" t="s">
        <v>2223</v>
      </c>
      <c r="H7" s="197" t="s">
        <v>2224</v>
      </c>
    </row>
    <row r="8" spans="1:8" ht="87.6" customHeight="1" thickBot="1">
      <c r="A8" s="233" t="s">
        <v>2383</v>
      </c>
      <c r="B8" s="225" t="s">
        <v>2336</v>
      </c>
      <c r="C8" s="198" t="s">
        <v>2376</v>
      </c>
      <c r="D8" s="195" t="s">
        <v>2395</v>
      </c>
      <c r="E8" s="196"/>
      <c r="F8" s="196" t="s">
        <v>2225</v>
      </c>
      <c r="G8" s="195" t="s">
        <v>2226</v>
      </c>
      <c r="H8" s="197" t="s">
        <v>2227</v>
      </c>
    </row>
    <row r="9" spans="1:8" ht="75.75" thickBot="1">
      <c r="A9" s="233" t="s">
        <v>2384</v>
      </c>
      <c r="B9" s="225" t="s">
        <v>2337</v>
      </c>
      <c r="C9" s="198" t="s">
        <v>2375</v>
      </c>
      <c r="D9" s="195" t="s">
        <v>2228</v>
      </c>
      <c r="E9" s="196"/>
      <c r="F9" s="196" t="s">
        <v>2225</v>
      </c>
      <c r="G9" s="196" t="s">
        <v>2229</v>
      </c>
      <c r="H9" s="197" t="s">
        <v>2230</v>
      </c>
    </row>
    <row r="10" spans="1:8" ht="75.75" thickBot="1">
      <c r="A10" s="233" t="s">
        <v>2385</v>
      </c>
      <c r="B10" s="225" t="s">
        <v>2340</v>
      </c>
      <c r="C10" s="198" t="s">
        <v>2374</v>
      </c>
      <c r="D10" s="195" t="s">
        <v>2232</v>
      </c>
      <c r="E10" s="196"/>
      <c r="F10" s="196" t="s">
        <v>2231</v>
      </c>
      <c r="G10" s="196" t="s">
        <v>2233</v>
      </c>
      <c r="H10" s="197" t="s">
        <v>2234</v>
      </c>
    </row>
    <row r="11" spans="1:8" ht="57" thickBot="1">
      <c r="A11" s="233" t="s">
        <v>2386</v>
      </c>
      <c r="B11" s="225" t="s">
        <v>2338</v>
      </c>
      <c r="C11" s="198" t="s">
        <v>2236</v>
      </c>
      <c r="D11" s="195" t="s">
        <v>2237</v>
      </c>
      <c r="E11" s="196"/>
      <c r="F11" s="196" t="s">
        <v>2235</v>
      </c>
      <c r="G11" s="196" t="s">
        <v>2238</v>
      </c>
      <c r="H11" s="197" t="s">
        <v>2239</v>
      </c>
    </row>
    <row r="12" spans="1:8" ht="57" thickBot="1">
      <c r="A12" s="233" t="s">
        <v>2387</v>
      </c>
      <c r="B12" s="225" t="s">
        <v>2342</v>
      </c>
      <c r="C12" s="198" t="s">
        <v>2346</v>
      </c>
      <c r="D12" s="195" t="s">
        <v>2240</v>
      </c>
      <c r="E12" s="196"/>
      <c r="F12" s="196" t="s">
        <v>2241</v>
      </c>
      <c r="G12" s="196" t="s">
        <v>2242</v>
      </c>
      <c r="H12" s="197" t="s">
        <v>2243</v>
      </c>
    </row>
    <row r="13" spans="1:8" ht="38.25" thickBot="1">
      <c r="A13" s="233" t="s">
        <v>2388</v>
      </c>
      <c r="B13" s="225" t="s">
        <v>2343</v>
      </c>
      <c r="C13" s="198" t="s">
        <v>2348</v>
      </c>
      <c r="D13" s="195" t="s">
        <v>2245</v>
      </c>
      <c r="E13" s="196"/>
      <c r="F13" s="196" t="s">
        <v>2244</v>
      </c>
      <c r="G13" s="196" t="s">
        <v>2246</v>
      </c>
      <c r="H13" s="197" t="s">
        <v>2247</v>
      </c>
    </row>
    <row r="14" spans="1:8" ht="57" thickBot="1">
      <c r="A14" s="233" t="s">
        <v>2389</v>
      </c>
      <c r="B14" s="225" t="s">
        <v>2339</v>
      </c>
      <c r="C14" s="198" t="s">
        <v>2347</v>
      </c>
      <c r="D14" s="195" t="s">
        <v>2248</v>
      </c>
      <c r="E14" s="196"/>
      <c r="F14" s="196" t="s">
        <v>2249</v>
      </c>
      <c r="G14" s="196" t="s">
        <v>2250</v>
      </c>
      <c r="H14" s="197" t="s">
        <v>2251</v>
      </c>
    </row>
  </sheetData>
  <phoneticPr fontId="7"/>
  <pageMargins left="0.7" right="0.7" top="0.75" bottom="0.75" header="0.3" footer="0.3"/>
  <pageSetup paperSize="9" scale="48" orientation="portrait" r:id="rId1"/>
  <ignoredErrors>
    <ignoredError sqref="A3:A4" numberStoredAsText="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67199-6059-42A9-8CDF-93386F1CFD31}">
  <sheetPr codeName="Sheet14">
    <tabColor theme="1"/>
  </sheetPr>
  <dimension ref="A1:G48"/>
  <sheetViews>
    <sheetView workbookViewId="0">
      <pane ySplit="1" topLeftCell="A10" activePane="bottomLeft" state="frozen"/>
      <selection pane="bottomLeft"/>
    </sheetView>
  </sheetViews>
  <sheetFormatPr defaultRowHeight="18.75"/>
  <cols>
    <col min="1" max="1" width="4.75" customWidth="1"/>
    <col min="2" max="2" width="6.625" bestFit="1" customWidth="1"/>
    <col min="3" max="3" width="9.25" bestFit="1" customWidth="1"/>
    <col min="4" max="4" width="32.75" bestFit="1" customWidth="1"/>
    <col min="5" max="5" width="49.5" bestFit="1" customWidth="1"/>
  </cols>
  <sheetData>
    <row r="1" spans="1:7" ht="21.75" thickBot="1">
      <c r="A1" s="1" t="s">
        <v>2252</v>
      </c>
      <c r="B1" s="2"/>
      <c r="C1" s="2"/>
      <c r="D1" s="199"/>
      <c r="G1" s="200" t="s">
        <v>2253</v>
      </c>
    </row>
    <row r="2" spans="1:7" ht="19.5" thickBot="1">
      <c r="A2" s="187" t="s">
        <v>2203</v>
      </c>
      <c r="B2" s="188" t="s">
        <v>2254</v>
      </c>
      <c r="C2" s="188" t="s">
        <v>2255</v>
      </c>
      <c r="D2" s="188" t="s">
        <v>2204</v>
      </c>
      <c r="E2" s="201" t="s">
        <v>2205</v>
      </c>
      <c r="G2" s="202" t="s">
        <v>2256</v>
      </c>
    </row>
    <row r="3" spans="1:7" ht="19.5" thickBot="1">
      <c r="A3" s="203">
        <v>1</v>
      </c>
      <c r="B3" s="192" t="s">
        <v>2257</v>
      </c>
      <c r="C3" s="204" t="s">
        <v>2258</v>
      </c>
      <c r="D3" s="192" t="str">
        <f>連絡先!$B$3</f>
        <v>北海道サポート部
FS3課</v>
      </c>
      <c r="E3" s="205" t="str" cm="1">
        <f t="array" ref="E3">_xlfn.XLOOKUP($D3,連絡先!$B$3:$B$14,連絡先!$C$3:$C$14&amp;"_yyyymmdd.xlsx","該当なし")</f>
        <v>01_点検連絡票_北海道サポート部_FS3課_yyyymmdd.xlsx</v>
      </c>
      <c r="G3" s="200" t="s">
        <v>2259</v>
      </c>
    </row>
    <row r="4" spans="1:7" ht="19.5" thickBot="1">
      <c r="A4" s="206">
        <v>2</v>
      </c>
      <c r="B4" s="207" t="s">
        <v>2260</v>
      </c>
      <c r="C4" s="208" t="s">
        <v>2261</v>
      </c>
      <c r="D4" s="207" t="str">
        <f>連絡先!$B$4</f>
        <v>東日本サポート部
FS2課</v>
      </c>
      <c r="E4" s="205" t="str" cm="1">
        <f t="array" ref="E4">_xlfn.XLOOKUP($D4,連絡先!$B$3:$B$14,連絡先!$C$3:$C$14&amp;"_yyyymmdd.xlsx","該当なし")</f>
        <v>02_点検連絡票_東日本サポート部_FS2課_yyyymmdd.xlsx</v>
      </c>
      <c r="G4" s="200" t="s">
        <v>2262</v>
      </c>
    </row>
    <row r="5" spans="1:7" ht="19.5" thickBot="1">
      <c r="A5" s="209">
        <v>3</v>
      </c>
      <c r="B5" s="210" t="s">
        <v>2260</v>
      </c>
      <c r="C5" s="211" t="s">
        <v>2263</v>
      </c>
      <c r="D5" s="207" t="str">
        <f>連絡先!$B$4</f>
        <v>東日本サポート部
FS2課</v>
      </c>
      <c r="E5" s="205" t="str" cm="1">
        <f t="array" ref="E5">_xlfn.XLOOKUP($D5,連絡先!$B$3:$B$14,連絡先!$C$3:$C$14&amp;"_yyyymmdd.xlsx","該当なし")</f>
        <v>02_点検連絡票_東日本サポート部_FS2課_yyyymmdd.xlsx</v>
      </c>
      <c r="G5" t="s">
        <v>2264</v>
      </c>
    </row>
    <row r="6" spans="1:7" ht="19.5" thickBot="1">
      <c r="A6" s="209">
        <v>4</v>
      </c>
      <c r="B6" s="210" t="s">
        <v>2260</v>
      </c>
      <c r="C6" s="211" t="s">
        <v>2265</v>
      </c>
      <c r="D6" s="207" t="str">
        <f>連絡先!$B$4</f>
        <v>東日本サポート部
FS2課</v>
      </c>
      <c r="E6" s="205" t="str" cm="1">
        <f t="array" ref="E6">_xlfn.XLOOKUP($D6,連絡先!$B$3:$B$14,連絡先!$C$3:$C$14&amp;"_yyyymmdd.xlsx","該当なし")</f>
        <v>02_点検連絡票_東日本サポート部_FS2課_yyyymmdd.xlsx</v>
      </c>
      <c r="G6" s="212" t="s">
        <v>2266</v>
      </c>
    </row>
    <row r="7" spans="1:7" ht="19.5" thickBot="1">
      <c r="A7" s="209">
        <v>5</v>
      </c>
      <c r="B7" s="210" t="s">
        <v>2260</v>
      </c>
      <c r="C7" s="211" t="s">
        <v>2267</v>
      </c>
      <c r="D7" s="207" t="str">
        <f>連絡先!$B$4</f>
        <v>東日本サポート部
FS2課</v>
      </c>
      <c r="E7" s="205" t="str" cm="1">
        <f t="array" ref="E7">_xlfn.XLOOKUP($D7,連絡先!$B$3:$B$14,連絡先!$C$3:$C$14&amp;"_yyyymmdd.xlsx","該当なし")</f>
        <v>02_点検連絡票_東日本サポート部_FS2課_yyyymmdd.xlsx</v>
      </c>
      <c r="G7" t="s">
        <v>2268</v>
      </c>
    </row>
    <row r="8" spans="1:7" ht="19.5" thickBot="1">
      <c r="A8" s="209">
        <v>6</v>
      </c>
      <c r="B8" s="210" t="s">
        <v>2260</v>
      </c>
      <c r="C8" s="211" t="s">
        <v>2269</v>
      </c>
      <c r="D8" s="207" t="str">
        <f>連絡先!$B$4</f>
        <v>東日本サポート部
FS2課</v>
      </c>
      <c r="E8" s="205" t="str" cm="1">
        <f t="array" ref="E8">_xlfn.XLOOKUP($D8,連絡先!$B$3:$B$14,連絡先!$C$3:$C$14&amp;"_yyyymmdd.xlsx","該当なし")</f>
        <v>02_点検連絡票_東日本サポート部_FS2課_yyyymmdd.xlsx</v>
      </c>
    </row>
    <row r="9" spans="1:7" ht="19.5" thickBot="1">
      <c r="A9" s="213">
        <v>7</v>
      </c>
      <c r="B9" s="214" t="s">
        <v>2260</v>
      </c>
      <c r="C9" s="215" t="s">
        <v>2270</v>
      </c>
      <c r="D9" s="207" t="str">
        <f>連絡先!$B$4</f>
        <v>東日本サポート部
FS2課</v>
      </c>
      <c r="E9" s="205" t="str" cm="1">
        <f t="array" ref="E9">_xlfn.XLOOKUP($D9,連絡先!$B$3:$B$14,連絡先!$C$3:$C$14&amp;"_yyyymmdd.xlsx","該当なし")</f>
        <v>02_点検連絡票_東日本サポート部_FS2課_yyyymmdd.xlsx</v>
      </c>
    </row>
    <row r="10" spans="1:7" ht="19.5" thickBot="1">
      <c r="A10" s="206">
        <v>8</v>
      </c>
      <c r="B10" s="207" t="s">
        <v>2271</v>
      </c>
      <c r="C10" s="208" t="s">
        <v>2272</v>
      </c>
      <c r="D10" s="207" t="str">
        <f>連絡先!$B$5</f>
        <v>東日本サポート部
FS1課</v>
      </c>
      <c r="E10" s="205" t="str" cm="1">
        <f t="array" ref="E10">_xlfn.XLOOKUP($D10,連絡先!$B$3:$B$14,連絡先!$C$3:$C$14&amp;"_yyyymmdd.xlsx","該当なし")</f>
        <v>03_点検連絡票_東日本サポート部_FS1課_yyyymmdd.xlsx</v>
      </c>
      <c r="G10" s="216" t="s">
        <v>2273</v>
      </c>
    </row>
    <row r="11" spans="1:7" ht="19.5" thickBot="1">
      <c r="A11" s="209">
        <v>9</v>
      </c>
      <c r="B11" s="210" t="s">
        <v>2271</v>
      </c>
      <c r="C11" s="211" t="s">
        <v>2274</v>
      </c>
      <c r="D11" s="207" t="str">
        <f>連絡先!$B$5</f>
        <v>東日本サポート部
FS1課</v>
      </c>
      <c r="E11" s="205" t="str" cm="1">
        <f t="array" ref="E11">_xlfn.XLOOKUP($D11,連絡先!$B$3:$B$14,連絡先!$C$3:$C$14&amp;"_yyyymmdd.xlsx","該当なし")</f>
        <v>03_点検連絡票_東日本サポート部_FS1課_yyyymmdd.xlsx</v>
      </c>
    </row>
    <row r="12" spans="1:7" ht="19.5" thickBot="1">
      <c r="A12" s="209">
        <v>10</v>
      </c>
      <c r="B12" s="210" t="s">
        <v>2271</v>
      </c>
      <c r="C12" s="211" t="s">
        <v>2275</v>
      </c>
      <c r="D12" s="207" t="str">
        <f>連絡先!$B$5</f>
        <v>東日本サポート部
FS1課</v>
      </c>
      <c r="E12" s="205" t="str" cm="1">
        <f t="array" ref="E12">_xlfn.XLOOKUP($D12,連絡先!$B$3:$B$14,連絡先!$C$3:$C$14&amp;"_yyyymmdd.xlsx","該当なし")</f>
        <v>03_点検連絡票_東日本サポート部_FS1課_yyyymmdd.xlsx</v>
      </c>
    </row>
    <row r="13" spans="1:7" ht="19.5" thickBot="1">
      <c r="A13" s="209">
        <v>11</v>
      </c>
      <c r="B13" s="210" t="s">
        <v>2271</v>
      </c>
      <c r="C13" s="211" t="s">
        <v>2276</v>
      </c>
      <c r="D13" s="207" t="str">
        <f>連絡先!$B$5</f>
        <v>東日本サポート部
FS1課</v>
      </c>
      <c r="E13" s="205" t="str" cm="1">
        <f t="array" ref="E13">_xlfn.XLOOKUP($D13,連絡先!$B$3:$B$14,連絡先!$C$3:$C$14&amp;"_yyyymmdd.xlsx","該当なし")</f>
        <v>03_点検連絡票_東日本サポート部_FS1課_yyyymmdd.xlsx</v>
      </c>
    </row>
    <row r="14" spans="1:7" ht="19.5" thickBot="1">
      <c r="A14" s="213">
        <v>12</v>
      </c>
      <c r="B14" s="214"/>
      <c r="C14" s="215" t="s">
        <v>2277</v>
      </c>
      <c r="D14" s="214" t="str">
        <f>連絡先!B6</f>
        <v>東日本サポート部
FS1課
(新潟エリア）</v>
      </c>
      <c r="E14" s="205" t="str" cm="1">
        <f t="array" ref="E14">_xlfn.XLOOKUP($D14,連絡先!$B$3:$B$14,連絡先!$C$3:$C$14&amp;"_yyyymmdd.xlsx","該当なし")</f>
        <v>04_点検連絡票_東日本サポート部_FS1課（新潟）_yyyymmdd.xlsx</v>
      </c>
    </row>
    <row r="15" spans="1:7" ht="19.5" thickBot="1">
      <c r="A15" s="206">
        <v>13</v>
      </c>
      <c r="B15" s="207" t="s">
        <v>2278</v>
      </c>
      <c r="C15" s="208" t="s">
        <v>2279</v>
      </c>
      <c r="D15" s="207" t="str">
        <f>連絡先!$B$7</f>
        <v>首都圏サポート２部
FS1課</v>
      </c>
      <c r="E15" s="205" t="str" cm="1">
        <f t="array" ref="E15">_xlfn.XLOOKUP($D15,連絡先!$B$3:$B$14,連絡先!$C$3:$C$14&amp;"_yyyymmdd.xlsx","該当なし")</f>
        <v>05_点検連絡票_首都圏サポート2部_FS1課_yyyymmdd.xlsx</v>
      </c>
    </row>
    <row r="16" spans="1:7" ht="19.5" thickBot="1">
      <c r="A16" s="209">
        <v>14</v>
      </c>
      <c r="B16" s="210" t="s">
        <v>2278</v>
      </c>
      <c r="C16" s="211" t="s">
        <v>2363</v>
      </c>
      <c r="D16" s="207" t="str">
        <f>連絡先!$B$7</f>
        <v>首都圏サポート２部
FS1課</v>
      </c>
      <c r="E16" s="205" t="str" cm="1">
        <f t="array" ref="E16">_xlfn.XLOOKUP($D16,連絡先!$B$3:$B$14,連絡先!$C$3:$C$14&amp;"_yyyymmdd.xlsx","該当なし")</f>
        <v>05_点検連絡票_首都圏サポート2部_FS1課_yyyymmdd.xlsx</v>
      </c>
    </row>
    <row r="17" spans="1:5" ht="19.5" thickBot="1">
      <c r="A17" s="209">
        <v>15</v>
      </c>
      <c r="B17" s="210" t="s">
        <v>2278</v>
      </c>
      <c r="C17" s="211" t="s">
        <v>2280</v>
      </c>
      <c r="D17" s="207" t="str">
        <f>連絡先!$B$7</f>
        <v>首都圏サポート２部
FS1課</v>
      </c>
      <c r="E17" s="205" t="str" cm="1">
        <f t="array" ref="E17">_xlfn.XLOOKUP($D17,連絡先!$B$3:$B$14,連絡先!$C$3:$C$14&amp;"_yyyymmdd.xlsx","該当なし")</f>
        <v>05_点検連絡票_首都圏サポート2部_FS1課_yyyymmdd.xlsx</v>
      </c>
    </row>
    <row r="18" spans="1:5" ht="19.5" thickBot="1">
      <c r="A18" s="213">
        <v>16</v>
      </c>
      <c r="B18" s="214" t="s">
        <v>2278</v>
      </c>
      <c r="C18" s="215" t="s">
        <v>2281</v>
      </c>
      <c r="D18" s="207" t="str">
        <f>連絡先!$B$7</f>
        <v>首都圏サポート２部
FS1課</v>
      </c>
      <c r="E18" s="205" t="str" cm="1">
        <f t="array" ref="E18">_xlfn.XLOOKUP($D18,連絡先!$B$3:$B$14,連絡先!$C$3:$C$14&amp;"_yyyymmdd.xlsx","該当なし")</f>
        <v>05_点検連絡票_首都圏サポート2部_FS1課_yyyymmdd.xlsx</v>
      </c>
    </row>
    <row r="19" spans="1:5" ht="19.5" thickBot="1">
      <c r="A19" s="206">
        <v>17</v>
      </c>
      <c r="B19" s="207" t="s">
        <v>2282</v>
      </c>
      <c r="C19" s="208" t="s">
        <v>2283</v>
      </c>
      <c r="D19" s="207" t="str">
        <f>連絡先!$B$8</f>
        <v>中日本サポート部
FS２課
（中部エリア）</v>
      </c>
      <c r="E19" s="205" t="str" cm="1">
        <f t="array" ref="E19">_xlfn.XLOOKUP($D19,連絡先!$B$3:$B$14,連絡先!$C$3:$C$14&amp;"_yyyymmdd.xlsx","該当なし")</f>
        <v>06_点検連絡票_中日本サポート部_FS2課_yyyymmdd.xlsx</v>
      </c>
    </row>
    <row r="20" spans="1:5" ht="19.5" thickBot="1">
      <c r="A20" s="209">
        <v>18</v>
      </c>
      <c r="B20" s="210" t="s">
        <v>2282</v>
      </c>
      <c r="C20" s="211" t="s">
        <v>2284</v>
      </c>
      <c r="D20" s="207" t="str">
        <f>連絡先!$B$8</f>
        <v>中日本サポート部
FS２課
（中部エリア）</v>
      </c>
      <c r="E20" s="205" t="str" cm="1">
        <f t="array" ref="E20">_xlfn.XLOOKUP($D20,連絡先!$B$3:$B$14,連絡先!$C$3:$C$14&amp;"_yyyymmdd.xlsx","該当なし")</f>
        <v>06_点検連絡票_中日本サポート部_FS2課_yyyymmdd.xlsx</v>
      </c>
    </row>
    <row r="21" spans="1:5" ht="19.5" thickBot="1">
      <c r="A21" s="209">
        <v>19</v>
      </c>
      <c r="B21" s="210" t="s">
        <v>2282</v>
      </c>
      <c r="C21" s="211" t="s">
        <v>2285</v>
      </c>
      <c r="D21" s="207" t="str">
        <f>連絡先!$B$8</f>
        <v>中日本サポート部
FS２課
（中部エリア）</v>
      </c>
      <c r="E21" s="205" t="str" cm="1">
        <f t="array" ref="E21">_xlfn.XLOOKUP($D21,連絡先!$B$3:$B$14,連絡先!$C$3:$C$14&amp;"_yyyymmdd.xlsx","該当なし")</f>
        <v>06_点検連絡票_中日本サポート部_FS2課_yyyymmdd.xlsx</v>
      </c>
    </row>
    <row r="22" spans="1:5" ht="19.5" thickBot="1">
      <c r="A22" s="209">
        <v>20</v>
      </c>
      <c r="B22" s="210" t="s">
        <v>2282</v>
      </c>
      <c r="C22" s="211" t="s">
        <v>2286</v>
      </c>
      <c r="D22" s="207" t="str">
        <f>連絡先!$B$8</f>
        <v>中日本サポート部
FS２課
（中部エリア）</v>
      </c>
      <c r="E22" s="205" t="str" cm="1">
        <f t="array" ref="E22">_xlfn.XLOOKUP($D22,連絡先!$B$3:$B$14,連絡先!$C$3:$C$14&amp;"_yyyymmdd.xlsx","該当なし")</f>
        <v>06_点検連絡票_中日本サポート部_FS2課_yyyymmdd.xlsx</v>
      </c>
    </row>
    <row r="23" spans="1:5" ht="19.5" thickBot="1">
      <c r="A23" s="213">
        <v>21</v>
      </c>
      <c r="B23" s="214" t="s">
        <v>2282</v>
      </c>
      <c r="C23" s="215" t="s">
        <v>2287</v>
      </c>
      <c r="D23" s="207" t="str">
        <f>連絡先!$B$8</f>
        <v>中日本サポート部
FS２課
（中部エリア）</v>
      </c>
      <c r="E23" s="205" t="str" cm="1">
        <f t="array" ref="E23">_xlfn.XLOOKUP($D23,連絡先!$B$3:$B$14,連絡先!$C$3:$C$14&amp;"_yyyymmdd.xlsx","該当なし")</f>
        <v>06_点検連絡票_中日本サポート部_FS2課_yyyymmdd.xlsx</v>
      </c>
    </row>
    <row r="24" spans="1:5" ht="19.5" thickBot="1">
      <c r="A24" s="206">
        <v>22</v>
      </c>
      <c r="B24" s="207" t="s">
        <v>2288</v>
      </c>
      <c r="C24" s="208" t="s">
        <v>2289</v>
      </c>
      <c r="D24" s="207" t="str">
        <f>連絡先!$B$9</f>
        <v>中日本サポート部
FS２課
（北陸エリア）</v>
      </c>
      <c r="E24" s="205" t="str" cm="1">
        <f t="array" ref="E24">_xlfn.XLOOKUP($D24,連絡先!$B$3:$B$14,連絡先!$C$3:$C$14&amp;"_yyyymmdd.xlsx","該当なし")</f>
        <v>07_点検連絡票_中日本サポート部_FS2課（北陸）_yyyymmdd.xlsx</v>
      </c>
    </row>
    <row r="25" spans="1:5" ht="19.5" thickBot="1">
      <c r="A25" s="209">
        <v>23</v>
      </c>
      <c r="B25" s="210" t="s">
        <v>2288</v>
      </c>
      <c r="C25" s="211" t="s">
        <v>2290</v>
      </c>
      <c r="D25" s="207" t="str">
        <f>連絡先!$B$9</f>
        <v>中日本サポート部
FS２課
（北陸エリア）</v>
      </c>
      <c r="E25" s="205" t="str" cm="1">
        <f t="array" ref="E25">_xlfn.XLOOKUP($D25,連絡先!$B$3:$B$14,連絡先!$C$3:$C$14&amp;"_yyyymmdd.xlsx","該当なし")</f>
        <v>07_点検連絡票_中日本サポート部_FS2課（北陸）_yyyymmdd.xlsx</v>
      </c>
    </row>
    <row r="26" spans="1:5" ht="19.5" thickBot="1">
      <c r="A26" s="213">
        <v>24</v>
      </c>
      <c r="B26" s="214" t="s">
        <v>2288</v>
      </c>
      <c r="C26" s="215" t="s">
        <v>2291</v>
      </c>
      <c r="D26" s="207" t="str">
        <f>連絡先!$B$9</f>
        <v>中日本サポート部
FS２課
（北陸エリア）</v>
      </c>
      <c r="E26" s="205" t="str" cm="1">
        <f t="array" ref="E26">_xlfn.XLOOKUP($D26,連絡先!$B$3:$B$14,連絡先!$C$3:$C$14&amp;"_yyyymmdd.xlsx","該当なし")</f>
        <v>07_点検連絡票_中日本サポート部_FS2課（北陸）_yyyymmdd.xlsx</v>
      </c>
    </row>
    <row r="27" spans="1:5" ht="19.5" thickBot="1">
      <c r="A27" s="206">
        <v>25</v>
      </c>
      <c r="B27" s="207" t="s">
        <v>2292</v>
      </c>
      <c r="C27" s="208" t="s">
        <v>2293</v>
      </c>
      <c r="D27" s="207" t="str">
        <f>連絡先!$B$10</f>
        <v>関西サポート1部
FS2課</v>
      </c>
      <c r="E27" s="205" t="str" cm="1">
        <f t="array" ref="E27">_xlfn.XLOOKUP($D27,連絡先!$B$3:$B$14,連絡先!$C$3:$C$14&amp;"_yyyymmdd.xlsx","該当なし")</f>
        <v>08_点検連絡票_関西サポート１部_FS2課_yyyymmdd.xlsx</v>
      </c>
    </row>
    <row r="28" spans="1:5" ht="19.5" thickBot="1">
      <c r="A28" s="209">
        <v>26</v>
      </c>
      <c r="B28" s="210" t="s">
        <v>2292</v>
      </c>
      <c r="C28" s="211" t="s">
        <v>2294</v>
      </c>
      <c r="D28" s="207" t="str">
        <f>連絡先!$B$10</f>
        <v>関西サポート1部
FS2課</v>
      </c>
      <c r="E28" s="205" t="str" cm="1">
        <f t="array" ref="E28">_xlfn.XLOOKUP($D28,連絡先!$B$3:$B$14,連絡先!$C$3:$C$14&amp;"_yyyymmdd.xlsx","該当なし")</f>
        <v>08_点検連絡票_関西サポート１部_FS2課_yyyymmdd.xlsx</v>
      </c>
    </row>
    <row r="29" spans="1:5" ht="19.5" thickBot="1">
      <c r="A29" s="209">
        <v>27</v>
      </c>
      <c r="B29" s="210" t="s">
        <v>2292</v>
      </c>
      <c r="C29" s="211" t="s">
        <v>2295</v>
      </c>
      <c r="D29" s="207" t="str">
        <f>連絡先!$B$10</f>
        <v>関西サポート1部
FS2課</v>
      </c>
      <c r="E29" s="205" t="str" cm="1">
        <f t="array" ref="E29">_xlfn.XLOOKUP($D29,連絡先!$B$3:$B$14,連絡先!$C$3:$C$14&amp;"_yyyymmdd.xlsx","該当なし")</f>
        <v>08_点検連絡票_関西サポート１部_FS2課_yyyymmdd.xlsx</v>
      </c>
    </row>
    <row r="30" spans="1:5" ht="19.5" thickBot="1">
      <c r="A30" s="209">
        <v>28</v>
      </c>
      <c r="B30" s="210" t="s">
        <v>2292</v>
      </c>
      <c r="C30" s="211" t="s">
        <v>2296</v>
      </c>
      <c r="D30" s="207" t="str">
        <f>連絡先!$B$10</f>
        <v>関西サポート1部
FS2課</v>
      </c>
      <c r="E30" s="205" t="str" cm="1">
        <f t="array" ref="E30">_xlfn.XLOOKUP($D30,連絡先!$B$3:$B$14,連絡先!$C$3:$C$14&amp;"_yyyymmdd.xlsx","該当なし")</f>
        <v>08_点検連絡票_関西サポート１部_FS2課_yyyymmdd.xlsx</v>
      </c>
    </row>
    <row r="31" spans="1:5" ht="19.5" thickBot="1">
      <c r="A31" s="209">
        <v>29</v>
      </c>
      <c r="B31" s="210" t="s">
        <v>2292</v>
      </c>
      <c r="C31" s="211" t="s">
        <v>2297</v>
      </c>
      <c r="D31" s="207" t="str">
        <f>連絡先!$B$10</f>
        <v>関西サポート1部
FS2課</v>
      </c>
      <c r="E31" s="205" t="str" cm="1">
        <f t="array" ref="E31">_xlfn.XLOOKUP($D31,連絡先!$B$3:$B$14,連絡先!$C$3:$C$14&amp;"_yyyymmdd.xlsx","該当なし")</f>
        <v>08_点検連絡票_関西サポート１部_FS2課_yyyymmdd.xlsx</v>
      </c>
    </row>
    <row r="32" spans="1:5" ht="19.5" thickBot="1">
      <c r="A32" s="213">
        <v>30</v>
      </c>
      <c r="B32" s="214" t="s">
        <v>2292</v>
      </c>
      <c r="C32" s="215" t="s">
        <v>2298</v>
      </c>
      <c r="D32" s="207" t="str">
        <f>連絡先!$B$10</f>
        <v>関西サポート1部
FS2課</v>
      </c>
      <c r="E32" s="205" t="str" cm="1">
        <f t="array" ref="E32">_xlfn.XLOOKUP($D32,連絡先!$B$3:$B$14,連絡先!$C$3:$C$14&amp;"_yyyymmdd.xlsx","該当なし")</f>
        <v>08_点検連絡票_関西サポート１部_FS2課_yyyymmdd.xlsx</v>
      </c>
    </row>
    <row r="33" spans="1:5" ht="19.5" thickBot="1">
      <c r="A33" s="206">
        <v>31</v>
      </c>
      <c r="B33" s="207" t="s">
        <v>2299</v>
      </c>
      <c r="C33" s="208" t="s">
        <v>2300</v>
      </c>
      <c r="D33" s="207" t="str">
        <f>連絡先!$B$11</f>
        <v>中四国サポート部
FS2課</v>
      </c>
      <c r="E33" s="205" t="str" cm="1">
        <f t="array" ref="E33">_xlfn.XLOOKUP($D33,連絡先!$B$3:$B$14,連絡先!$C$3:$C$14&amp;"_yyyymmdd.xlsx","該当なし")</f>
        <v>09_点検連絡票_中四国サポート部_FS2課_yyyymmdd.xlsx</v>
      </c>
    </row>
    <row r="34" spans="1:5" ht="19.5" thickBot="1">
      <c r="A34" s="209">
        <v>32</v>
      </c>
      <c r="B34" s="210" t="s">
        <v>2299</v>
      </c>
      <c r="C34" s="211" t="s">
        <v>2301</v>
      </c>
      <c r="D34" s="207" t="str">
        <f>連絡先!$B$11</f>
        <v>中四国サポート部
FS2課</v>
      </c>
      <c r="E34" s="205" t="str" cm="1">
        <f t="array" ref="E34">_xlfn.XLOOKUP($D34,連絡先!$B$3:$B$14,連絡先!$C$3:$C$14&amp;"_yyyymmdd.xlsx","該当なし")</f>
        <v>09_点検連絡票_中四国サポート部_FS2課_yyyymmdd.xlsx</v>
      </c>
    </row>
    <row r="35" spans="1:5" ht="19.5" thickBot="1">
      <c r="A35" s="209">
        <v>33</v>
      </c>
      <c r="B35" s="210" t="s">
        <v>2299</v>
      </c>
      <c r="C35" s="211" t="s">
        <v>2302</v>
      </c>
      <c r="D35" s="210" t="str">
        <f>連絡先!$B$12</f>
        <v>中四国サポート部
FS1課</v>
      </c>
      <c r="E35" s="205" t="str" cm="1">
        <f t="array" ref="E35">_xlfn.XLOOKUP($D35,連絡先!$B$3:$B$14,連絡先!$C$3:$C$14&amp;"_yyyymmdd.xlsx","該当なし")</f>
        <v>10_点検連絡票_中四国サポート部_FS1課_yyyymmdd.xlsx</v>
      </c>
    </row>
    <row r="36" spans="1:5" ht="19.5" thickBot="1">
      <c r="A36" s="209">
        <v>34</v>
      </c>
      <c r="B36" s="210" t="s">
        <v>2299</v>
      </c>
      <c r="C36" s="211" t="s">
        <v>2303</v>
      </c>
      <c r="D36" s="210" t="str">
        <f>連絡先!$B$12</f>
        <v>中四国サポート部
FS1課</v>
      </c>
      <c r="E36" s="205" t="str" cm="1">
        <f t="array" ref="E36">_xlfn.XLOOKUP($D36,連絡先!$B$3:$B$14,連絡先!$C$3:$C$14&amp;"_yyyymmdd.xlsx","該当なし")</f>
        <v>10_点検連絡票_中四国サポート部_FS1課_yyyymmdd.xlsx</v>
      </c>
    </row>
    <row r="37" spans="1:5" ht="19.5" thickBot="1">
      <c r="A37" s="213">
        <v>35</v>
      </c>
      <c r="B37" s="214" t="s">
        <v>2299</v>
      </c>
      <c r="C37" s="215" t="s">
        <v>2304</v>
      </c>
      <c r="D37" s="210" t="str">
        <f>連絡先!$B$12</f>
        <v>中四国サポート部
FS1課</v>
      </c>
      <c r="E37" s="205" t="str" cm="1">
        <f t="array" ref="E37">_xlfn.XLOOKUP($D37,連絡先!$B$3:$B$14,連絡先!$C$3:$C$14&amp;"_yyyymmdd.xlsx","該当なし")</f>
        <v>10_点検連絡票_中四国サポート部_FS1課_yyyymmdd.xlsx</v>
      </c>
    </row>
    <row r="38" spans="1:5" ht="19.5" thickBot="1">
      <c r="A38" s="206">
        <v>36</v>
      </c>
      <c r="B38" s="207" t="s">
        <v>2305</v>
      </c>
      <c r="C38" s="208" t="s">
        <v>2306</v>
      </c>
      <c r="D38" s="207" t="str">
        <f>連絡先!$B$13</f>
        <v>中四国サポート部
FS3課</v>
      </c>
      <c r="E38" s="205" t="str" cm="1">
        <f t="array" ref="E38">_xlfn.XLOOKUP($D38,連絡先!$B$3:$B$14,連絡先!$C$3:$C$14&amp;"_yyyymmdd.xlsx","該当なし")</f>
        <v>11_点検連絡票_中四国サポート部_FS3課_yyyymmdd.xlsx</v>
      </c>
    </row>
    <row r="39" spans="1:5" ht="19.5" thickBot="1">
      <c r="A39" s="209">
        <v>37</v>
      </c>
      <c r="B39" s="210" t="s">
        <v>2305</v>
      </c>
      <c r="C39" s="211" t="s">
        <v>2307</v>
      </c>
      <c r="D39" s="207" t="str">
        <f>連絡先!$B$13</f>
        <v>中四国サポート部
FS3課</v>
      </c>
      <c r="E39" s="205" t="str" cm="1">
        <f t="array" ref="E39">_xlfn.XLOOKUP($D39,連絡先!$B$3:$B$14,連絡先!$C$3:$C$14&amp;"_yyyymmdd.xlsx","該当なし")</f>
        <v>11_点検連絡票_中四国サポート部_FS3課_yyyymmdd.xlsx</v>
      </c>
    </row>
    <row r="40" spans="1:5" ht="19.5" thickBot="1">
      <c r="A40" s="209">
        <v>38</v>
      </c>
      <c r="B40" s="210" t="s">
        <v>2305</v>
      </c>
      <c r="C40" s="211" t="s">
        <v>2308</v>
      </c>
      <c r="D40" s="207" t="str">
        <f>連絡先!$B$13</f>
        <v>中四国サポート部
FS3課</v>
      </c>
      <c r="E40" s="205" t="str" cm="1">
        <f t="array" ref="E40">_xlfn.XLOOKUP($D40,連絡先!$B$3:$B$14,連絡先!$C$3:$C$14&amp;"_yyyymmdd.xlsx","該当なし")</f>
        <v>11_点検連絡票_中四国サポート部_FS3課_yyyymmdd.xlsx</v>
      </c>
    </row>
    <row r="41" spans="1:5" ht="19.5" thickBot="1">
      <c r="A41" s="213">
        <v>39</v>
      </c>
      <c r="B41" s="214" t="s">
        <v>2305</v>
      </c>
      <c r="C41" s="215" t="s">
        <v>2309</v>
      </c>
      <c r="D41" s="207" t="str">
        <f>連絡先!$B$13</f>
        <v>中四国サポート部
FS3課</v>
      </c>
      <c r="E41" s="205" t="str" cm="1">
        <f t="array" ref="E41">_xlfn.XLOOKUP($D41,連絡先!$B$3:$B$14,連絡先!$C$3:$C$14&amp;"_yyyymmdd.xlsx","該当なし")</f>
        <v>11_点検連絡票_中四国サポート部_FS3課_yyyymmdd.xlsx</v>
      </c>
    </row>
    <row r="42" spans="1:5" ht="19.5" thickBot="1">
      <c r="A42" s="206">
        <v>40</v>
      </c>
      <c r="B42" s="207" t="s">
        <v>2310</v>
      </c>
      <c r="C42" s="208" t="s">
        <v>2311</v>
      </c>
      <c r="D42" s="207" t="str">
        <f>連絡先!$B$14</f>
        <v>九州サポート部
FS1課</v>
      </c>
      <c r="E42" s="205" t="str" cm="1">
        <f t="array" ref="E42">_xlfn.XLOOKUP($D42,連絡先!$B$3:$B$14,連絡先!$C$3:$C$14&amp;"_yyyymmdd.xlsx","該当なし")</f>
        <v>12_点検連絡票_九州サポート部_FS1課_yyyymmdd.xlsx</v>
      </c>
    </row>
    <row r="43" spans="1:5" ht="19.5" thickBot="1">
      <c r="A43" s="209">
        <v>41</v>
      </c>
      <c r="B43" s="210" t="s">
        <v>2310</v>
      </c>
      <c r="C43" s="211" t="s">
        <v>2312</v>
      </c>
      <c r="D43" s="207" t="str">
        <f>連絡先!$B$14</f>
        <v>九州サポート部
FS1課</v>
      </c>
      <c r="E43" s="205" t="str" cm="1">
        <f t="array" ref="E43">_xlfn.XLOOKUP($D43,連絡先!$B$3:$B$14,連絡先!$C$3:$C$14&amp;"_yyyymmdd.xlsx","該当なし")</f>
        <v>12_点検連絡票_九州サポート部_FS1課_yyyymmdd.xlsx</v>
      </c>
    </row>
    <row r="44" spans="1:5" ht="19.5" thickBot="1">
      <c r="A44" s="209">
        <v>42</v>
      </c>
      <c r="B44" s="210" t="s">
        <v>2310</v>
      </c>
      <c r="C44" s="211" t="s">
        <v>2313</v>
      </c>
      <c r="D44" s="207" t="str">
        <f>連絡先!$B$14</f>
        <v>九州サポート部
FS1課</v>
      </c>
      <c r="E44" s="205" t="str" cm="1">
        <f t="array" ref="E44">_xlfn.XLOOKUP($D44,連絡先!$B$3:$B$14,連絡先!$C$3:$C$14&amp;"_yyyymmdd.xlsx","該当なし")</f>
        <v>12_点検連絡票_九州サポート部_FS1課_yyyymmdd.xlsx</v>
      </c>
    </row>
    <row r="45" spans="1:5" ht="19.5" thickBot="1">
      <c r="A45" s="209">
        <v>43</v>
      </c>
      <c r="B45" s="210" t="s">
        <v>2310</v>
      </c>
      <c r="C45" s="211" t="s">
        <v>2314</v>
      </c>
      <c r="D45" s="207" t="str">
        <f>連絡先!$B$14</f>
        <v>九州サポート部
FS1課</v>
      </c>
      <c r="E45" s="205" t="str" cm="1">
        <f t="array" ref="E45">_xlfn.XLOOKUP($D45,連絡先!$B$3:$B$14,連絡先!$C$3:$C$14&amp;"_yyyymmdd.xlsx","該当なし")</f>
        <v>12_点検連絡票_九州サポート部_FS1課_yyyymmdd.xlsx</v>
      </c>
    </row>
    <row r="46" spans="1:5" ht="19.5" thickBot="1">
      <c r="A46" s="209">
        <v>44</v>
      </c>
      <c r="B46" s="210" t="s">
        <v>2310</v>
      </c>
      <c r="C46" s="211" t="s">
        <v>2315</v>
      </c>
      <c r="D46" s="207" t="str">
        <f>連絡先!$B$14</f>
        <v>九州サポート部
FS1課</v>
      </c>
      <c r="E46" s="205" t="str" cm="1">
        <f t="array" ref="E46">_xlfn.XLOOKUP($D46,連絡先!$B$3:$B$14,連絡先!$C$3:$C$14&amp;"_yyyymmdd.xlsx","該当なし")</f>
        <v>12_点検連絡票_九州サポート部_FS1課_yyyymmdd.xlsx</v>
      </c>
    </row>
    <row r="47" spans="1:5" ht="19.5" thickBot="1">
      <c r="A47" s="209">
        <v>45</v>
      </c>
      <c r="B47" s="210" t="s">
        <v>2310</v>
      </c>
      <c r="C47" s="211" t="s">
        <v>2316</v>
      </c>
      <c r="D47" s="207" t="str">
        <f>連絡先!$B$14</f>
        <v>九州サポート部
FS1課</v>
      </c>
      <c r="E47" s="205" t="str" cm="1">
        <f t="array" ref="E47">_xlfn.XLOOKUP($D47,連絡先!$B$3:$B$14,連絡先!$C$3:$C$14&amp;"_yyyymmdd.xlsx","該当なし")</f>
        <v>12_点検連絡票_九州サポート部_FS1課_yyyymmdd.xlsx</v>
      </c>
    </row>
    <row r="48" spans="1:5" ht="19.5" thickBot="1">
      <c r="A48" s="213">
        <v>46</v>
      </c>
      <c r="B48" s="214" t="s">
        <v>2310</v>
      </c>
      <c r="C48" s="215" t="s">
        <v>2317</v>
      </c>
      <c r="D48" s="192" t="str">
        <f>連絡先!$B$14</f>
        <v>九州サポート部
FS1課</v>
      </c>
      <c r="E48" s="205" t="str" cm="1">
        <f t="array" ref="E48">_xlfn.XLOOKUP($D48,連絡先!$B$3:$B$14,連絡先!$C$3:$C$14&amp;"_yyyymmdd.xlsx","該当なし")</f>
        <v>12_点検連絡票_九州サポート部_FS1課_yyyymmdd.xlsx</v>
      </c>
    </row>
  </sheetData>
  <sheetProtection algorithmName="SHA-512" hashValue="FzfGgVg3cKNT7k5Dy0lBP8O13842twfTsdOmBckgCVRpw5khycY7VTbxOwS6JyjZYARdbW1V2uKlfXH2VJXR/A==" saltValue="zyFa/oH1jfXGIxZ9Fby8jg==" spinCount="100000" sheet="1" objects="1" scenarios="1"/>
  <dataConsolidate/>
  <phoneticPr fontId="7"/>
  <conditionalFormatting sqref="G6 G10 A3:E48">
    <cfRule type="expression" dxfId="0" priority="1">
      <formula>A3=A2</formula>
    </cfRule>
  </conditionalFormatting>
  <pageMargins left="0.7" right="0.7" top="0.75" bottom="0.75" header="0.3" footer="0.3"/>
  <pageSetup paperSize="9" scale="7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8FC5F-C256-40A1-B100-FA175C7352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13</vt:i4>
      </vt:variant>
    </vt:vector>
  </HeadingPairs>
  <TitlesOfParts>
    <vt:vector size="28" baseType="lpstr">
      <vt:lpstr>ログ</vt:lpstr>
      <vt:lpstr>変更履歴</vt:lpstr>
      <vt:lpstr>設定</vt:lpstr>
      <vt:lpstr>メニュー</vt:lpstr>
      <vt:lpstr>オンサイト</vt:lpstr>
      <vt:lpstr>センドバック</vt:lpstr>
      <vt:lpstr>Nパッケージ</vt:lpstr>
      <vt:lpstr>記入事項</vt:lpstr>
      <vt:lpstr>Sheet1</vt:lpstr>
      <vt:lpstr>メール（月報）</vt:lpstr>
      <vt:lpstr>価格表 (卸価格）</vt:lpstr>
      <vt:lpstr>価格表（セ価格）</vt:lpstr>
      <vt:lpstr>メール（点検連絡票）</vt:lpstr>
      <vt:lpstr>連絡先</vt:lpstr>
      <vt:lpstr>部署</vt:lpstr>
      <vt:lpstr>Nパッケージ!Print_Area</vt:lpstr>
      <vt:lpstr>センドバック!Print_Area</vt:lpstr>
      <vt:lpstr>'メール（月報）'!Print_Area</vt:lpstr>
      <vt:lpstr>'メール（点検連絡票）'!Print_Area</vt:lpstr>
      <vt:lpstr>メニュー!Print_Area</vt:lpstr>
      <vt:lpstr>ログ!Print_Area</vt:lpstr>
      <vt:lpstr>部署!Print_Area</vt:lpstr>
      <vt:lpstr>変更履歴!Print_Area</vt:lpstr>
      <vt:lpstr>Nパッケージ!Print_Titles</vt:lpstr>
      <vt:lpstr>センドバック!Print_Titles</vt:lpstr>
      <vt:lpstr>オンサイト</vt:lpstr>
      <vt:lpstr>Nパッケージ!センドバック</vt:lpstr>
      <vt:lpstr>センドバック</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WATANABE RISA (渡邊 里紗)</dc:creator>
  <cp:lastModifiedBy>HIRANO SHOJI (平野 翔士)</cp:lastModifiedBy>
  <dcterms:created xsi:type="dcterms:W3CDTF">2024-12-12T04:05:31Z</dcterms:created>
  <dcterms:modified xsi:type="dcterms:W3CDTF">2025-07-17T02:57:40Z</dcterms:modified>
</cp:coreProperties>
</file>